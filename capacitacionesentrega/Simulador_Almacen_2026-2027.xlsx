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horac\Desktop\"/>
    </mc:Choice>
  </mc:AlternateContent>
  <xr:revisionPtr revIDLastSave="0" documentId="13_ncr:1_{23A07570-C1CC-44C4-A141-F9CEF7E5C8B1}" xr6:coauthVersionLast="47" xr6:coauthVersionMax="47" xr10:uidLastSave="{00000000-0000-0000-0000-000000000000}"/>
  <bookViews>
    <workbookView xWindow="-120" yWindow="-120" windowWidth="20730" windowHeight="11040" tabRatio="500" firstSheet="2" activeTab="5" xr2:uid="{00000000-000D-0000-FFFF-FFFF00000000}"/>
  </bookViews>
  <sheets>
    <sheet name="Dashboard" sheetId="1" r:id="rId1"/>
    <sheet name="Tablas_Operativas" sheetId="2" r:id="rId2"/>
    <sheet name="Parametros" sheetId="3" r:id="rId3"/>
    <sheet name="Datos_Volumen" sheetId="4" r:id="rId4"/>
    <sheet name="Datos_Dotacion" sheetId="5" r:id="rId5"/>
    <sheet name="Datos_Vacios" sheetId="6" r:id="rId6"/>
    <sheet name="Tabla_Escenarios" sheetId="7" r:id="rId7"/>
    <sheet name="SOP_y_Comentari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4" l="1"/>
  <c r="L14" i="4" s="1"/>
  <c r="I14" i="4"/>
  <c r="J14" i="4" s="1"/>
  <c r="I17" i="5"/>
  <c r="I3" i="5"/>
  <c r="I4" i="5"/>
  <c r="I5" i="5"/>
  <c r="I6" i="5"/>
  <c r="I7" i="5"/>
  <c r="I8" i="5"/>
  <c r="I9" i="5"/>
  <c r="I10" i="5"/>
  <c r="I11" i="5"/>
  <c r="I12" i="5"/>
  <c r="I13" i="5"/>
  <c r="I14" i="5"/>
  <c r="F17" i="1" s="1"/>
  <c r="I15" i="5"/>
  <c r="F18" i="1" s="1"/>
  <c r="G18" i="1" s="1"/>
  <c r="I16" i="5"/>
  <c r="F19" i="1" s="1"/>
  <c r="G19" i="1" s="1"/>
  <c r="F20" i="1"/>
  <c r="G20" i="1" s="1"/>
  <c r="I18" i="5"/>
  <c r="F21" i="1" s="1"/>
  <c r="G21" i="1" s="1"/>
  <c r="I19" i="5"/>
  <c r="F22" i="1" s="1"/>
  <c r="G22" i="1" s="1"/>
  <c r="I20" i="5"/>
  <c r="F23" i="1" s="1"/>
  <c r="G23" i="1" s="1"/>
  <c r="I21" i="5"/>
  <c r="F24" i="1" s="1"/>
  <c r="G24" i="1" s="1"/>
  <c r="I22" i="5"/>
  <c r="F25" i="1" s="1"/>
  <c r="G25" i="1" s="1"/>
  <c r="I23" i="5"/>
  <c r="F26" i="1" s="1"/>
  <c r="G26" i="1" s="1"/>
  <c r="I24" i="5"/>
  <c r="F27" i="1" s="1"/>
  <c r="G27" i="1" s="1"/>
  <c r="I25" i="5"/>
  <c r="F28" i="1" s="1"/>
  <c r="G28" i="1" s="1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2" i="5"/>
  <c r="B5" i="7"/>
  <c r="B4" i="7"/>
  <c r="B3" i="7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B16" i="3"/>
  <c r="B10" i="3"/>
  <c r="B9" i="3"/>
  <c r="T28" i="1"/>
  <c r="O28" i="1"/>
  <c r="H28" i="1"/>
  <c r="D28" i="1"/>
  <c r="E28" i="1" s="1"/>
  <c r="B28" i="1"/>
  <c r="C28" i="1" s="1"/>
  <c r="T27" i="1"/>
  <c r="O27" i="1"/>
  <c r="H27" i="1"/>
  <c r="D27" i="1"/>
  <c r="E27" i="1" s="1"/>
  <c r="B27" i="1"/>
  <c r="C27" i="1" s="1"/>
  <c r="T26" i="1"/>
  <c r="O26" i="1"/>
  <c r="H26" i="1"/>
  <c r="D26" i="1"/>
  <c r="E26" i="1" s="1"/>
  <c r="B26" i="1"/>
  <c r="C26" i="1" s="1"/>
  <c r="T25" i="1"/>
  <c r="O25" i="1"/>
  <c r="H25" i="1"/>
  <c r="D25" i="1"/>
  <c r="E25" i="1" s="1"/>
  <c r="B25" i="1"/>
  <c r="C25" i="1" s="1"/>
  <c r="T24" i="1"/>
  <c r="O24" i="1"/>
  <c r="H24" i="1"/>
  <c r="D24" i="1"/>
  <c r="E24" i="1" s="1"/>
  <c r="B24" i="1"/>
  <c r="C24" i="1" s="1"/>
  <c r="T23" i="1"/>
  <c r="O23" i="1"/>
  <c r="H23" i="1"/>
  <c r="D23" i="1"/>
  <c r="E23" i="1" s="1"/>
  <c r="B23" i="1"/>
  <c r="C23" i="1" s="1"/>
  <c r="T22" i="1"/>
  <c r="O22" i="1"/>
  <c r="H22" i="1"/>
  <c r="D22" i="1"/>
  <c r="E22" i="1" s="1"/>
  <c r="B22" i="1"/>
  <c r="C22" i="1" s="1"/>
  <c r="T21" i="1"/>
  <c r="O21" i="1"/>
  <c r="H21" i="1"/>
  <c r="D21" i="1"/>
  <c r="E21" i="1" s="1"/>
  <c r="B21" i="1"/>
  <c r="C21" i="1" s="1"/>
  <c r="T20" i="1"/>
  <c r="O20" i="1"/>
  <c r="H20" i="1"/>
  <c r="D20" i="1"/>
  <c r="E20" i="1" s="1"/>
  <c r="B20" i="1"/>
  <c r="C20" i="1" s="1"/>
  <c r="T19" i="1"/>
  <c r="O19" i="1"/>
  <c r="H19" i="1"/>
  <c r="D19" i="1"/>
  <c r="E19" i="1" s="1"/>
  <c r="B19" i="1"/>
  <c r="C19" i="1" s="1"/>
  <c r="T18" i="1"/>
  <c r="O18" i="1"/>
  <c r="H18" i="1"/>
  <c r="D18" i="1"/>
  <c r="E18" i="1" s="1"/>
  <c r="B18" i="1"/>
  <c r="C18" i="1" s="1"/>
  <c r="T17" i="1"/>
  <c r="O17" i="1"/>
  <c r="H17" i="1"/>
  <c r="D17" i="1"/>
  <c r="B17" i="1"/>
  <c r="G17" i="2"/>
  <c r="C17" i="2"/>
  <c r="G16" i="2"/>
  <c r="C16" i="2"/>
  <c r="G15" i="2"/>
  <c r="C15" i="2"/>
  <c r="G14" i="2"/>
  <c r="C14" i="2"/>
  <c r="G13" i="2"/>
  <c r="C13" i="2"/>
  <c r="G12" i="2"/>
  <c r="C12" i="2"/>
  <c r="G11" i="2"/>
  <c r="C11" i="2"/>
  <c r="G10" i="2"/>
  <c r="C10" i="2"/>
  <c r="G9" i="2"/>
  <c r="C9" i="2"/>
  <c r="G8" i="2"/>
  <c r="C8" i="2"/>
  <c r="G7" i="2"/>
  <c r="C7" i="2"/>
  <c r="G6" i="2"/>
  <c r="C6" i="2"/>
  <c r="H29" i="1" l="1"/>
  <c r="G9" i="1"/>
  <c r="R28" i="1"/>
  <c r="J28" i="1"/>
  <c r="I28" i="1"/>
  <c r="Q28" i="1"/>
  <c r="L28" i="1"/>
  <c r="S28" i="1"/>
  <c r="R27" i="1"/>
  <c r="J27" i="1"/>
  <c r="Q27" i="1"/>
  <c r="I27" i="1"/>
  <c r="S27" i="1"/>
  <c r="L27" i="1"/>
  <c r="R26" i="1"/>
  <c r="J26" i="1"/>
  <c r="I26" i="1"/>
  <c r="Q26" i="1"/>
  <c r="L26" i="1"/>
  <c r="S26" i="1"/>
  <c r="R25" i="1"/>
  <c r="J25" i="1"/>
  <c r="Q25" i="1"/>
  <c r="I25" i="1"/>
  <c r="L25" i="1"/>
  <c r="S25" i="1"/>
  <c r="J24" i="1"/>
  <c r="R24" i="1"/>
  <c r="I24" i="1"/>
  <c r="Q24" i="1"/>
  <c r="L24" i="1"/>
  <c r="S24" i="1"/>
  <c r="R23" i="1"/>
  <c r="J23" i="1"/>
  <c r="Q23" i="1"/>
  <c r="I23" i="1"/>
  <c r="L23" i="1"/>
  <c r="S23" i="1"/>
  <c r="J22" i="1"/>
  <c r="R22" i="1"/>
  <c r="I22" i="1"/>
  <c r="Q22" i="1"/>
  <c r="S22" i="1"/>
  <c r="L22" i="1"/>
  <c r="R21" i="1"/>
  <c r="J21" i="1"/>
  <c r="Q21" i="1"/>
  <c r="I21" i="1"/>
  <c r="S21" i="1"/>
  <c r="L21" i="1"/>
  <c r="J20" i="1"/>
  <c r="R20" i="1"/>
  <c r="I20" i="1"/>
  <c r="Q20" i="1"/>
  <c r="L20" i="1"/>
  <c r="S20" i="1"/>
  <c r="R19" i="1"/>
  <c r="J19" i="1"/>
  <c r="I19" i="1"/>
  <c r="Q19" i="1"/>
  <c r="S19" i="1"/>
  <c r="L19" i="1"/>
  <c r="J18" i="1"/>
  <c r="R18" i="1"/>
  <c r="I18" i="1"/>
  <c r="Q18" i="1"/>
  <c r="L18" i="1"/>
  <c r="S18" i="1"/>
  <c r="R17" i="1"/>
  <c r="J17" i="1"/>
  <c r="T29" i="1"/>
  <c r="M12" i="1"/>
  <c r="O29" i="1"/>
  <c r="F29" i="1"/>
  <c r="G17" i="1"/>
  <c r="E17" i="1"/>
  <c r="D29" i="1"/>
  <c r="B29" i="1"/>
  <c r="D21" i="7"/>
  <c r="D22" i="7"/>
  <c r="C17" i="1"/>
  <c r="D18" i="7"/>
  <c r="D17" i="7"/>
  <c r="D23" i="7"/>
  <c r="D16" i="7"/>
  <c r="D15" i="7"/>
  <c r="D14" i="7"/>
  <c r="D13" i="7"/>
  <c r="D12" i="7"/>
  <c r="D19" i="7"/>
  <c r="D11" i="7"/>
  <c r="D20" i="7"/>
  <c r="K28" i="1" l="1"/>
  <c r="M28" i="1" s="1"/>
  <c r="N28" i="1"/>
  <c r="P28" i="1" s="1"/>
  <c r="U28" i="1"/>
  <c r="K27" i="1"/>
  <c r="M27" i="1" s="1"/>
  <c r="N27" i="1"/>
  <c r="P27" i="1" s="1"/>
  <c r="U27" i="1"/>
  <c r="K26" i="1"/>
  <c r="M26" i="1" s="1"/>
  <c r="N26" i="1"/>
  <c r="P26" i="1" s="1"/>
  <c r="U26" i="1"/>
  <c r="K25" i="1"/>
  <c r="M25" i="1" s="1"/>
  <c r="N25" i="1"/>
  <c r="P25" i="1" s="1"/>
  <c r="U25" i="1"/>
  <c r="K24" i="1"/>
  <c r="M24" i="1" s="1"/>
  <c r="N24" i="1"/>
  <c r="P24" i="1" s="1"/>
  <c r="U24" i="1"/>
  <c r="K23" i="1"/>
  <c r="M23" i="1" s="1"/>
  <c r="N23" i="1"/>
  <c r="P23" i="1" s="1"/>
  <c r="U23" i="1"/>
  <c r="K22" i="1"/>
  <c r="M22" i="1" s="1"/>
  <c r="N22" i="1"/>
  <c r="P22" i="1" s="1"/>
  <c r="U22" i="1"/>
  <c r="K21" i="1"/>
  <c r="M21" i="1" s="1"/>
  <c r="N21" i="1"/>
  <c r="P21" i="1" s="1"/>
  <c r="U21" i="1"/>
  <c r="K20" i="1"/>
  <c r="M20" i="1" s="1"/>
  <c r="N20" i="1"/>
  <c r="P20" i="1" s="1"/>
  <c r="U20" i="1"/>
  <c r="K19" i="1"/>
  <c r="M19" i="1" s="1"/>
  <c r="N19" i="1"/>
  <c r="P19" i="1" s="1"/>
  <c r="U19" i="1"/>
  <c r="K18" i="1"/>
  <c r="M18" i="1" s="1"/>
  <c r="N18" i="1"/>
  <c r="P18" i="1" s="1"/>
  <c r="U18" i="1"/>
  <c r="G29" i="1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D9" i="1"/>
  <c r="I17" i="1"/>
  <c r="Q17" i="1"/>
  <c r="Q29" i="1" s="1"/>
  <c r="E29" i="1"/>
  <c r="B7" i="7"/>
  <c r="A9" i="1"/>
  <c r="S17" i="1"/>
  <c r="S29" i="1" s="1"/>
  <c r="C29" i="1"/>
  <c r="B6" i="7"/>
  <c r="L17" i="1"/>
  <c r="R29" i="1"/>
  <c r="J29" i="1"/>
  <c r="K17" i="1" l="1"/>
  <c r="U17" i="1"/>
  <c r="V28" i="1"/>
  <c r="N17" i="1"/>
  <c r="I29" i="1"/>
  <c r="C11" i="7"/>
  <c r="I11" i="7" s="1"/>
  <c r="C12" i="7"/>
  <c r="I12" i="7" s="1"/>
  <c r="C13" i="7"/>
  <c r="I13" i="7" s="1"/>
  <c r="C14" i="7"/>
  <c r="I14" i="7" s="1"/>
  <c r="C15" i="7"/>
  <c r="I15" i="7" s="1"/>
  <c r="C16" i="7"/>
  <c r="I16" i="7" s="1"/>
  <c r="C17" i="7"/>
  <c r="I17" i="7" s="1"/>
  <c r="C18" i="7"/>
  <c r="I18" i="7" s="1"/>
  <c r="C19" i="7"/>
  <c r="I19" i="7" s="1"/>
  <c r="C20" i="7"/>
  <c r="I20" i="7" s="1"/>
  <c r="C21" i="7"/>
  <c r="I21" i="7" s="1"/>
  <c r="C22" i="7"/>
  <c r="I22" i="7" s="1"/>
  <c r="C23" i="7"/>
  <c r="I23" i="7" s="1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M9" i="1"/>
  <c r="L29" i="1"/>
  <c r="V27" i="1"/>
  <c r="V26" i="1"/>
  <c r="V25" i="1"/>
  <c r="V24" i="1"/>
  <c r="V23" i="1"/>
  <c r="V22" i="1"/>
  <c r="V21" i="1"/>
  <c r="V20" i="1"/>
  <c r="V19" i="1"/>
  <c r="V18" i="1"/>
  <c r="J9" i="1" l="1"/>
  <c r="M17" i="1"/>
  <c r="D12" i="1" s="1"/>
  <c r="K29" i="1"/>
  <c r="E11" i="7"/>
  <c r="G11" i="7" s="1"/>
  <c r="H11" i="7" s="1"/>
  <c r="J11" i="7" s="1"/>
  <c r="E12" i="7"/>
  <c r="G12" i="7" s="1"/>
  <c r="H12" i="7" s="1"/>
  <c r="J12" i="7" s="1"/>
  <c r="E15" i="7"/>
  <c r="G15" i="7" s="1"/>
  <c r="H15" i="7" s="1"/>
  <c r="J15" i="7" s="1"/>
  <c r="P17" i="1"/>
  <c r="N29" i="1"/>
  <c r="G12" i="1"/>
  <c r="J12" i="1"/>
  <c r="U29" i="1"/>
  <c r="E13" i="7"/>
  <c r="G13" i="7" s="1"/>
  <c r="H13" i="7" s="1"/>
  <c r="J13" i="7" s="1"/>
  <c r="E14" i="7"/>
  <c r="G14" i="7" s="1"/>
  <c r="H14" i="7" s="1"/>
  <c r="J14" i="7" s="1"/>
  <c r="E16" i="7"/>
  <c r="G16" i="7" s="1"/>
  <c r="H16" i="7" s="1"/>
  <c r="J16" i="7" s="1"/>
  <c r="E17" i="7"/>
  <c r="G17" i="7" s="1"/>
  <c r="H17" i="7" s="1"/>
  <c r="J17" i="7" s="1"/>
  <c r="E18" i="7"/>
  <c r="G18" i="7" s="1"/>
  <c r="H18" i="7" s="1"/>
  <c r="J18" i="7" s="1"/>
  <c r="E19" i="7"/>
  <c r="G19" i="7" s="1"/>
  <c r="H19" i="7" s="1"/>
  <c r="J19" i="7" s="1"/>
  <c r="E20" i="7"/>
  <c r="G20" i="7" s="1"/>
  <c r="H20" i="7" s="1"/>
  <c r="J20" i="7" s="1"/>
  <c r="E21" i="7"/>
  <c r="G21" i="7" s="1"/>
  <c r="H21" i="7" s="1"/>
  <c r="J21" i="7" s="1"/>
  <c r="E22" i="7"/>
  <c r="G22" i="7" s="1"/>
  <c r="H22" i="7" s="1"/>
  <c r="J22" i="7" s="1"/>
  <c r="E23" i="7"/>
  <c r="G23" i="7" s="1"/>
  <c r="H23" i="7" s="1"/>
  <c r="J23" i="7" s="1"/>
  <c r="B6" i="1" l="1"/>
  <c r="M29" i="1"/>
  <c r="A12" i="1"/>
  <c r="P29" i="1"/>
  <c r="V17" i="1"/>
</calcChain>
</file>

<file path=xl/sharedStrings.xml><?xml version="1.0" encoding="utf-8"?>
<sst xmlns="http://schemas.openxmlformats.org/spreadsheetml/2006/main" count="915" uniqueCount="206">
  <si>
    <t xml:space="preserve">  ⚙ SIMULADOR DPO — CAPACIDAD DE ALMACÉN 2026</t>
  </si>
  <si>
    <t>SUCURSAL</t>
  </si>
  <si>
    <t>ESCENARIO VENTA</t>
  </si>
  <si>
    <t>AÑO</t>
  </si>
  <si>
    <t>← Clic en celda amarilla → lista desplegable  |  % picking y controladores: editar en Tablas_Operativas</t>
  </si>
  <si>
    <t>Casa Central</t>
  </si>
  <si>
    <t>💡  Cambiar Sucursal (A4) · Escenario (C4) · Año (E4) → todo se recalcula. Lógica diaria: ROUNDUP(Volumen/día ÷ productividad ÷ hs_día)</t>
  </si>
  <si>
    <t>⚡ DECISIÓN:</t>
  </si>
  <si>
    <t>BULTOS TOTALES AÑO</t>
  </si>
  <si>
    <t>HL TOTALES AÑO</t>
  </si>
  <si>
    <t>OP. PRESUPUESTADOS PROM.</t>
  </si>
  <si>
    <t>POOL PICKERS PROM.</t>
  </si>
  <si>
    <t>PICKERS NECES. PROM.</t>
  </si>
  <si>
    <t>BRECHA PICKING PEOR MES</t>
  </si>
  <si>
    <t>MESES CON BRECHA</t>
  </si>
  <si>
    <t>AUTOS MÁX. REQUERIDOS</t>
  </si>
  <si>
    <t>% UTILIZACIÓN PROM.</t>
  </si>
  <si>
    <t>DÍAS TRAB. PROM.</t>
  </si>
  <si>
    <t xml:space="preserve">  📋 CASCADA DIARIA: Presup → −Aus% → −Ctrl → −Autoelevadoristas → −Clasif.Vacíos → Pool Pickers → ¿Alcanzan?  |  Lógica: ROUNDUP(Volumen/día ÷ productividad ÷ hs.efectivas/día)</t>
  </si>
  <si>
    <t>MES</t>
  </si>
  <si>
    <t>VOLUMEN</t>
  </si>
  <si>
    <t>HL / AUTO</t>
  </si>
  <si>
    <t>PRESUP.</t>
  </si>
  <si>
    <t>DISP.
NETO</t>
  </si>
  <si>
    <t>−CTRL.</t>
  </si>
  <si>
    <t>−AUTO
ELEV.</t>
  </si>
  <si>
    <t>−CLASIF.
VAC.</t>
  </si>
  <si>
    <t>POOL
PICK.</t>
  </si>
  <si>
    <t>PICK.
NECES.</t>
  </si>
  <si>
    <t>BRECHA
PICK.</t>
  </si>
  <si>
    <t>AUTO
REQ.</t>
  </si>
  <si>
    <t>AUTO
DISP.</t>
  </si>
  <si>
    <t>BRECHA
MHE</t>
  </si>
  <si>
    <t>HS/DÍA POR TAREA</t>
  </si>
  <si>
    <t>% PICK</t>
  </si>
  <si>
    <t>% UTIL.</t>
  </si>
  <si>
    <t>ESTADO / DECISIÓN</t>
  </si>
  <si>
    <t>BULTOS
BASE</t>
  </si>
  <si>
    <t>BULTOS
AJUST.</t>
  </si>
  <si>
    <t>HL
BASE</t>
  </si>
  <si>
    <t>HL
AJUST.</t>
  </si>
  <si>
    <t>OP.
PRESUP.</t>
  </si>
  <si>
    <t>OP.
DISP.
NETO</t>
  </si>
  <si>
    <t>−
CONTROL.</t>
  </si>
  <si>
    <t>−
AUTO
ELEV.</t>
  </si>
  <si>
    <t>−
CLASIF.
VACÍOS</t>
  </si>
  <si>
    <t>POOL
PICKERS</t>
  </si>
  <si>
    <t>PICKERS
NECES.</t>
  </si>
  <si>
    <t>BRECHA
PICKING</t>
  </si>
  <si>
    <t>AUTO
REQ./DÍA</t>
  </si>
  <si>
    <t>HS AUTO
/DÍA</t>
  </si>
  <si>
    <t>HS CLASIF
/DÍA</t>
  </si>
  <si>
    <t>HS PICK
/DÍA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</si>
  <si>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</si>
  <si>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</si>
  <si>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</si>
  <si>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</si>
  <si>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</si>
  <si>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</si>
  <si>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</si>
  <si>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</si>
  <si>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</si>
  <si>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</si>
  <si>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</si>
  <si>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</si>
  <si>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TOTAL/PROM</t>
  </si>
  <si>
    <t xml:space="preserve">  📐 FÓRMULA DIARIA:  Auto.Req=ROUNDUP(HL/días/44/7hs)  |  Clasif.Req=ROUNDUP(Pallets/días/4.5/7hs)  |  Pick.Req=ROUNDUP(Bultos×%pick/días/330/5hs.netas)  |  Días=días.mes−domingos</t>
  </si>
  <si>
    <t xml:space="preserve">  📊 ANÁLISIS VISUAL</t>
  </si>
  <si>
    <t>Gráfico 1 — CASCADA: Verde=presupuestados / Azul=pool pickers / Rojo=pickers necesarios. Si rojo &gt; azul → faltan pickers ese mes.</t>
  </si>
  <si>
    <t>Gráfico 2 — BRECHA PICKING: Positivo=sobran pickers / Negativo=faltan. Meses bajo cero requieren acción inmediata.</t>
  </si>
  <si>
    <t>Gráfico 3 — % UTILIZACIÓN: (Hs.auto/día + Hs.clasif/día + Hs.pick/día) ÷ 7hs. Zona óptima 85–95%. &gt;100% = sobrecarga.</t>
  </si>
  <si>
    <t>Gráfico 4 — AUTOELEVADORES: Naranja=requeridos por día / Verde=disponibles. Si naranja &gt; verde → alquilar equipo adicional.</t>
  </si>
  <si>
    <t xml:space="preserve">  📖 GUÍA DE LECTURA — MODELO CASCADA DIARIA</t>
  </si>
  <si>
    <t>🟢 OK</t>
  </si>
  <si>
    <t>Pool pickers cubre lo necesario. Sin acción.</t>
  </si>
  <si>
    <t>🟢 OK — reducir</t>
  </si>
  <si>
    <t>Sobran &gt;3 pickers. Evaluar reducir temporarios para bajar costo.</t>
  </si>
  <si>
    <t>🟡 RIESGO</t>
  </si>
  <si>
    <t>Utilización &gt;95%. Monitorear. Considerar refuerzo.</t>
  </si>
  <si>
    <t>🟠 FALTAN pickers</t>
  </si>
  <si>
    <t>Brecha negativa leve. Redistribuir turnos u horas extra.</t>
  </si>
  <si>
    <t>🔴 CRÍTICO</t>
  </si>
  <si>
    <t>Faltan &gt;2 pickers. Contratar temporarios urgente.</t>
  </si>
  <si>
    <t>🟡 FALTAN autos</t>
  </si>
  <si>
    <t>Autoelevadores insuficientes. Evaluar alquiler de equipo.</t>
  </si>
  <si>
    <t>🔴 SOBRECARGA</t>
  </si>
  <si>
    <t>Utilización &gt;100%. Riesgo operativo. Acción inmediata.</t>
  </si>
  <si>
    <t>DÍAS TRABAJADOS</t>
  </si>
  <si>
    <t>Días del mes − domingos. Calculado automáticamente por año/mes.</t>
  </si>
  <si>
    <t>AUTO REQ./DÍA</t>
  </si>
  <si>
    <t>ROUNDUP(HL.ajust ÷ días ÷ 44HL/hs ÷ 7hs/día). Cuántos autos corriendo simultáneamente.</t>
  </si>
  <si>
    <t>CLASIF. REQ.</t>
  </si>
  <si>
    <t>ROUNDUP(Pallets.vac ÷ días ÷ 4.5pal/hs ÷ 7hs/día). Del pool, antes que pickers.</t>
  </si>
  <si>
    <t>PICKERS NECES.</t>
  </si>
  <si>
    <t>ROUNDUP(Bultos×%pick ÷ días ÷ 330bul/hs ÷ 5hs.netas). 7hs − 2hs otras = 5hs para picking.</t>
  </si>
  <si>
    <t>POOL PICKERS</t>
  </si>
  <si>
    <t>Disp.Neto − Controladores − Autoelevadoristas − Clasificadores.</t>
  </si>
  <si>
    <t>BRECHA PICKING</t>
  </si>
  <si>
    <t>Pool − Pickers.Neces. Positivo=sobra / Negativo=falta. Todo en enteros.</t>
  </si>
  <si>
    <t xml:space="preserve">  📋 TABLAS OPERATIVAS — Editar mensualmente</t>
  </si>
  <si>
    <t xml:space="preserve">  Celdas AMARILLAS son editables. El Dashboard las toma automáticamente.</t>
  </si>
  <si>
    <t>TABLA A — % DE BULTOS QUE VAN A PICKING (el resto = autoelevador directo)</t>
  </si>
  <si>
    <t>% PICKING CC</t>
  </si>
  <si>
    <t>% AUTO CC</t>
  </si>
  <si>
    <t>% PICKING DOL</t>
  </si>
  <si>
    <t>% AUTO DOL</t>
  </si>
  <si>
    <t xml:space="preserve"> </t>
  </si>
  <si>
    <t>ℹ  El % auto = bultos movidos por autoelevador directo, sin picker. No afecta cálculo de autos (los autos se calculan por HL, no por bultos).</t>
  </si>
  <si>
    <t>TABLA B — CONTROLADORES POR MES (se restan del pool al inicio de la cascada)</t>
  </si>
  <si>
    <t>CTRL CC</t>
  </si>
  <si>
    <t>REFERENCIA</t>
  </si>
  <si>
    <t>CTRL DOL</t>
  </si>
  <si>
    <t>Editar según plan</t>
  </si>
  <si>
    <t>ℹ  Controladores: primeros en descontarse. No clasifican ni pickean.</t>
  </si>
  <si>
    <t>Parámetro</t>
  </si>
  <si>
    <t>Valor</t>
  </si>
  <si>
    <t>Unidad</t>
  </si>
  <si>
    <t>Descripción</t>
  </si>
  <si>
    <t>Escenarios</t>
  </si>
  <si>
    <t>Sucursales</t>
  </si>
  <si>
    <t>Años</t>
  </si>
  <si>
    <t>Meses</t>
  </si>
  <si>
    <t>Sucursal seleccionada</t>
  </si>
  <si>
    <t>Usar lista desplegable: Casa Central o Dolores</t>
  </si>
  <si>
    <t>Año seleccionado</t>
  </si>
  <si>
    <t>Usar lista desplegable: 2025 o 2026</t>
  </si>
  <si>
    <t>Dolores</t>
  </si>
  <si>
    <t>Mes seleccionado</t>
  </si>
  <si>
    <t>Mes mostrado en tarjetas principales</t>
  </si>
  <si>
    <t>Escenario venta</t>
  </si>
  <si>
    <t>%</t>
  </si>
  <si>
    <t>Impacta todos los volúmenes: bultos, HL, pallets y vacíos</t>
  </si>
  <si>
    <t>Productividad objetivo Picking</t>
  </si>
  <si>
    <t>bultos/hora</t>
  </si>
  <si>
    <t>Bultos procesados por hora</t>
  </si>
  <si>
    <t>Productividad objetivo Autoelevador</t>
  </si>
  <si>
    <t>HL/hora</t>
  </si>
  <si>
    <t>FNP objetivo</t>
  </si>
  <si>
    <t>Productividad objetivo Vacíos</t>
  </si>
  <si>
    <t>pallets/hora</t>
  </si>
  <si>
    <t>Clasificación de vacíos</t>
  </si>
  <si>
    <t>Horas mensuales por operario</t>
  </si>
  <si>
    <t>HH/persona</t>
  </si>
  <si>
    <t>Capacidad teórica mensual por persona</t>
  </si>
  <si>
    <t>Horas mensuales por autoelevador</t>
  </si>
  <si>
    <t>HH/MHE</t>
  </si>
  <si>
    <t>Capacidad mensual por equipo</t>
  </si>
  <si>
    <t>Umbral sobrecapacidad</t>
  </si>
  <si>
    <t>% uso HH</t>
  </si>
  <si>
    <t>Menor a este valor indica posible sobrecapacidad</t>
  </si>
  <si>
    <t>Umbral riesgo</t>
  </si>
  <si>
    <t>Mayor a este valor indica riesgo operativo</t>
  </si>
  <si>
    <t>Umbral falta personal</t>
  </si>
  <si>
    <t>Mayor a este valor indica falta de personal</t>
  </si>
  <si>
    <t>Horas efectivas/día</t>
  </si>
  <si>
    <t>hs/día</t>
  </si>
  <si>
    <t>8 hs turno − 1 hs almuerzo = 7 hs efectivas (aplica a todas las tareas)</t>
  </si>
  <si>
    <t>Horas otras tareas/día</t>
  </si>
  <si>
    <t>Tareas no picking que descuentan del turno del picker (7−2=5 hs netas picking)</t>
  </si>
  <si>
    <t>Horas netas picking/día</t>
  </si>
  <si>
    <t>Horas efectivas para picking (7 − 2 otras = 5 hs)</t>
  </si>
  <si>
    <t>Sucursal</t>
  </si>
  <si>
    <t>Año</t>
  </si>
  <si>
    <t>Mes Nro</t>
  </si>
  <si>
    <t>Mes</t>
  </si>
  <si>
    <t>Bultos base</t>
  </si>
  <si>
    <t>HL base</t>
  </si>
  <si>
    <t>Pallets base</t>
  </si>
  <si>
    <t>Operarios fijos planificados</t>
  </si>
  <si>
    <t>Operarios temporarios planificados</t>
  </si>
  <si>
    <t>Operarios fijos reales</t>
  </si>
  <si>
    <t>Operarios temporarios reales</t>
  </si>
  <si>
    <t>Operarios planificados totales</t>
  </si>
  <si>
    <t>Ausentismo %</t>
  </si>
  <si>
    <t>Autoelevadores propios</t>
  </si>
  <si>
    <t>Autoelevadores alquilados</t>
  </si>
  <si>
    <t>Autoelevadores disponibles</t>
  </si>
  <si>
    <t>Calibre</t>
  </si>
  <si>
    <t>Participa en vacíos</t>
  </si>
  <si>
    <t>Pallets vendidos</t>
  </si>
  <si>
    <t>1 L</t>
  </si>
  <si>
    <t>Sí</t>
  </si>
  <si>
    <t>975 ml</t>
  </si>
  <si>
    <t>TABLA DE ESCENARIOS DINÁMICA - SEGÚN SUCURSAL/AÑO/MES ELEGIDOS EN DASHBOARD</t>
  </si>
  <si>
    <t>Base bultos</t>
  </si>
  <si>
    <t>Base HL</t>
  </si>
  <si>
    <t>Bultos ajustados</t>
  </si>
  <si>
    <t>HL ajustados</t>
  </si>
  <si>
    <t>Pallets vacíos ajustados</t>
  </si>
  <si>
    <t>HH totales requeridas</t>
  </si>
  <si>
    <t>Operarios disponibles netos</t>
  </si>
  <si>
    <t>Operarios requeridos</t>
  </si>
  <si>
    <t>Gap operarios</t>
  </si>
  <si>
    <t>Autoelevadores requeridos</t>
  </si>
  <si>
    <t>Decisión</t>
  </si>
  <si>
    <t>SOP - Simulador Integral de Capacidad de Almacén</t>
  </si>
  <si>
    <t>Objetivo</t>
  </si>
  <si>
    <t>Dimensionar mensualmente la capacidad de Casa Central y Dolores, cruzando volumen proyectado, escenario de venta, productividad objetivo, ausentismo, dotación planificada y disponibilidad de autoelevadores.</t>
  </si>
  <si>
    <t>Proceso</t>
  </si>
  <si>
    <t>1. Actualizar mensualmente los datos base de volumen, pallets y dotación.</t>
  </si>
  <si>
    <t>2. Seleccionar sucursal, año, mes y escenario de venta en el Dashboard.</t>
  </si>
  <si>
    <t>3. Validar el resultado: HH requeridas, operarios requeridos, operarios disponibles, gap y MHE.</t>
  </si>
  <si>
    <t>4. Si hay gap negativo, definir acción: contratación eventual, horas extra, reasignación o alquiler adicional.</t>
  </si>
  <si>
    <t>5. Revisar en rutina mensual y conservar evidencia de decisiones.</t>
  </si>
  <si>
    <t>Comentario DPO sugerido</t>
  </si>
  <si>
    <t>La unidad cuenta con un simulador integral de capacidad de almacén que permite evaluar Casa Central y Dolores por separado. La herramienta considera volumen de bultos y HL, clasificación de vacíos, productividad objetivo, ausentismo, dotación planificada y disponibilidad de autoelevadores. Mediante un selector de escenarios de venta de -30% a +30%, el simulador recalcula automáticamente HH requeridas, operarios necesarios, MHE requeridos y brechas operativas, permitiendo anticipar necesidades de recursos y definir planes de 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</si>
</sst>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+0%;\-0%;0%"/>
    <numFmt numFmtId="165" formatCode="0.0"/>
    <numFmt numFmtId="166" formatCode="[Green]\+0;[Red]\-0;0"/>
    <numFmt numFmtId="167" formatCode="0&quot; meses&quot;"/>
    <numFmt numFmtId="168" formatCode="0&quot; unid.&quot;"/>
    <numFmt numFmtId="169" formatCode="0.0%"/>
    <numFmt numFmtId="170" formatCode="0.0&quot; días&quot;"/>
    <numFmt numFmtId="171" formatCode="[Green]\+0;[Red]\-0;\-"/>
    <numFmt numFmtId="172" formatCode="[Green]\+0.0;[Red]\-0.0;\-"/>
    <numFmt numFmtId="173" formatCode="#,##0.0"/>
  </numFmts>
  <fonts count="43" x14ac:knownFonts="1">
    <font>
      <sz val="10"/>
      <name val="Arial"/>
      <family val="2"/>
      <charset val="1"/>
    </font>
    <font>
      <b/>
      <sz val="14"/>
      <color rgb="FFFFFFFF"/>
      <name val="Calibri"/>
      <family val="2"/>
    </font>
    <font>
      <b/>
      <sz val="8"/>
      <color rgb="FF717D7E"/>
      <name val="Calibri"/>
      <family val="2"/>
    </font>
    <font>
      <i/>
      <sz val="8"/>
      <color rgb="FF717D7E"/>
      <name val="Calibri"/>
      <family val="2"/>
    </font>
    <font>
      <b/>
      <sz val="11"/>
      <color rgb="FF1B4F72"/>
      <name val="Calibri"/>
      <family val="2"/>
    </font>
    <font>
      <b/>
      <sz val="11"/>
      <color rgb="FF922B21"/>
      <name val="Calibri"/>
      <family val="2"/>
    </font>
    <font>
      <sz val="9"/>
      <color rgb="FF1B4F72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8"/>
      <color rgb="FFFFFFFF"/>
      <name val="Calibri"/>
      <family val="2"/>
    </font>
    <font>
      <b/>
      <sz val="12"/>
      <color rgb="FF1B4F72"/>
      <name val="Calibri"/>
      <family val="2"/>
    </font>
    <font>
      <b/>
      <sz val="12"/>
      <color rgb="FF145A32"/>
      <name val="Calibri"/>
      <family val="2"/>
    </font>
    <font>
      <b/>
      <sz val="12"/>
      <color rgb="FF1E8449"/>
      <name val="Calibri"/>
      <family val="2"/>
    </font>
    <font>
      <b/>
      <sz val="12"/>
      <color rgb="FF922B21"/>
      <name val="Calibri"/>
      <family val="2"/>
    </font>
    <font>
      <b/>
      <sz val="12"/>
      <color rgb="FF784212"/>
      <name val="Calibri"/>
      <family val="2"/>
    </font>
    <font>
      <b/>
      <sz val="12"/>
      <color rgb="FF2471A3"/>
      <name val="Calibri"/>
      <family val="2"/>
    </font>
    <font>
      <b/>
      <sz val="12"/>
      <color rgb="FF2C3E50"/>
      <name val="Calibri"/>
      <family val="2"/>
    </font>
    <font>
      <b/>
      <sz val="6"/>
      <color rgb="FFFFFFFF"/>
      <name val="Calibri"/>
      <family val="2"/>
    </font>
    <font>
      <b/>
      <sz val="9"/>
      <color rgb="FF0D1B2A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rgb="FF0E6655"/>
      <name val="Calibri"/>
      <family val="2"/>
    </font>
    <font>
      <sz val="9"/>
      <color rgb="FF784212"/>
      <name val="Calibri"/>
      <family val="2"/>
    </font>
    <font>
      <b/>
      <sz val="9"/>
      <color rgb="FF145A32"/>
      <name val="Calibri"/>
      <family val="2"/>
    </font>
    <font>
      <b/>
      <sz val="10"/>
      <name val="Calibri"/>
      <family val="2"/>
    </font>
    <font>
      <sz val="8"/>
      <color rgb="FF717D7E"/>
      <name val="Calibri"/>
      <family val="2"/>
    </font>
    <font>
      <i/>
      <sz val="8"/>
      <color rgb="FF1B4F72"/>
      <name val="Calibri"/>
      <family val="2"/>
    </font>
    <font>
      <i/>
      <sz val="8"/>
      <color rgb="FF2C3E50"/>
      <name val="Calibri"/>
      <family val="2"/>
    </font>
    <font>
      <sz val="9"/>
      <color rgb="FF2C3E50"/>
      <name val="Calibri"/>
      <family val="2"/>
    </font>
    <font>
      <b/>
      <sz val="12"/>
      <color rgb="FFFFFFFF"/>
      <name val="Calibri"/>
      <family val="2"/>
    </font>
    <font>
      <i/>
      <sz val="9"/>
      <color rgb="FF444444"/>
      <name val="Calibri"/>
      <family val="2"/>
    </font>
    <font>
      <sz val="9"/>
      <color rgb="FF717D7E"/>
      <name val="Calibri"/>
      <family val="2"/>
    </font>
    <font>
      <b/>
      <sz val="11"/>
      <color rgb="FF145A32"/>
      <name val="Calibri"/>
      <family val="2"/>
    </font>
    <font>
      <i/>
      <sz val="8"/>
      <color rgb="FF444444"/>
      <name val="Calibri"/>
      <family val="2"/>
    </font>
    <font>
      <b/>
      <sz val="11"/>
      <color rgb="FF784212"/>
      <name val="Calibri"/>
      <family val="2"/>
    </font>
    <font>
      <b/>
      <sz val="10"/>
      <color rgb="FFFFFFFF"/>
      <name val="Aptos"/>
      <family val="2"/>
      <charset val="1"/>
    </font>
    <font>
      <sz val="10"/>
      <name val="Aptos"/>
      <family val="2"/>
      <charset val="1"/>
    </font>
    <font>
      <b/>
      <sz val="10"/>
      <name val="Aptos"/>
      <family val="2"/>
      <charset val="1"/>
    </font>
    <font>
      <b/>
      <sz val="14"/>
      <color rgb="FFFFFFFF"/>
      <name val="Aptos"/>
      <family val="2"/>
      <charset val="1"/>
    </font>
    <font>
      <b/>
      <sz val="12"/>
      <color theme="0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sz val="8"/>
      <name val="Arial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0D1B2A"/>
        <bgColor rgb="FF111827"/>
      </patternFill>
    </fill>
    <fill>
      <patternFill patternType="solid">
        <fgColor rgb="FFEAECEE"/>
        <bgColor rgb="FFEAF2FF"/>
      </patternFill>
    </fill>
    <fill>
      <patternFill patternType="solid">
        <fgColor rgb="FFF4F6F7"/>
        <bgColor rgb="FFEFF6FF"/>
      </patternFill>
    </fill>
    <fill>
      <patternFill patternType="solid">
        <fgColor rgb="FFFEF9E7"/>
        <bgColor rgb="FFF9FAFB"/>
      </patternFill>
    </fill>
    <fill>
      <patternFill patternType="solid">
        <fgColor rgb="FFD6EAF8"/>
        <bgColor rgb="FFD5F5E3"/>
      </patternFill>
    </fill>
    <fill>
      <patternFill patternType="solid">
        <fgColor rgb="FF2471A3"/>
        <bgColor rgb="FF0E6655"/>
      </patternFill>
    </fill>
    <fill>
      <patternFill patternType="solid">
        <fgColor rgb="FF1B4F72"/>
        <bgColor rgb="FF2C3E50"/>
      </patternFill>
    </fill>
    <fill>
      <patternFill patternType="solid">
        <fgColor rgb="FF145A32"/>
        <bgColor rgb="FF0E6655"/>
      </patternFill>
    </fill>
    <fill>
      <patternFill patternType="solid">
        <fgColor rgb="FF0E6655"/>
        <bgColor rgb="FF145A32"/>
      </patternFill>
    </fill>
    <fill>
      <patternFill patternType="solid">
        <fgColor rgb="FF1E8449"/>
        <bgColor rgb="FF0E6655"/>
      </patternFill>
    </fill>
    <fill>
      <patternFill patternType="solid">
        <fgColor rgb="FFD5F5E3"/>
        <bgColor rgb="FFD6EAF8"/>
      </patternFill>
    </fill>
    <fill>
      <patternFill patternType="solid">
        <fgColor rgb="FF922B21"/>
        <bgColor rgb="FF991B1B"/>
      </patternFill>
    </fill>
    <fill>
      <patternFill patternType="solid">
        <fgColor rgb="FF784212"/>
        <bgColor rgb="FF922B21"/>
      </patternFill>
    </fill>
    <fill>
      <patternFill patternType="solid">
        <fgColor rgb="FF2C3E50"/>
        <bgColor rgb="FF444444"/>
      </patternFill>
    </fill>
    <fill>
      <patternFill patternType="solid">
        <fgColor rgb="FFFADBD8"/>
        <bgColor rgb="FFFEE2E2"/>
      </patternFill>
    </fill>
    <fill>
      <patternFill patternType="solid">
        <fgColor rgb="FFFDEBD0"/>
        <bgColor rgb="FFFEF3C7"/>
      </patternFill>
    </fill>
    <fill>
      <patternFill patternType="solid">
        <fgColor rgb="FFD68910"/>
        <bgColor rgb="FF808000"/>
      </patternFill>
    </fill>
    <fill>
      <patternFill patternType="solid">
        <fgColor rgb="FFE8DAEF"/>
        <bgColor rgb="FFD9D9D9"/>
      </patternFill>
    </fill>
    <fill>
      <patternFill patternType="solid">
        <fgColor rgb="FFEAF2FF"/>
        <bgColor rgb="FFEFF6FF"/>
      </patternFill>
    </fill>
    <fill>
      <patternFill patternType="solid">
        <fgColor rgb="FFFFFFFF"/>
        <bgColor rgb="FFF9FAFB"/>
      </patternFill>
    </fill>
    <fill>
      <patternFill patternType="solid">
        <fgColor rgb="FFE74C3C"/>
        <bgColor rgb="FF993366"/>
      </patternFill>
    </fill>
    <fill>
      <patternFill patternType="solid">
        <fgColor rgb="FF1F2937"/>
        <bgColor rgb="FF0D1B2A"/>
      </patternFill>
    </fill>
    <fill>
      <patternFill patternType="solid">
        <fgColor rgb="FFEFF6FF"/>
        <bgColor rgb="FFF4F6F7"/>
      </patternFill>
    </fill>
    <fill>
      <patternFill patternType="solid">
        <fgColor rgb="FFECFDF5"/>
        <bgColor rgb="FFEFF6FF"/>
      </patternFill>
    </fill>
    <fill>
      <patternFill patternType="solid">
        <fgColor rgb="FFF9FAFB"/>
        <bgColor rgb="FFF8FAFC"/>
      </patternFill>
    </fill>
    <fill>
      <patternFill patternType="solid">
        <fgColor rgb="FFFEF3C7"/>
        <bgColor rgb="FFFDEBD0"/>
      </patternFill>
    </fill>
    <fill>
      <patternFill patternType="solid">
        <fgColor rgb="FF111827"/>
        <bgColor rgb="FF0D1B2A"/>
      </patternFill>
    </fill>
    <fill>
      <patternFill patternType="solid">
        <fgColor rgb="FFF8FAFC"/>
        <bgColor rgb="FFF9FAFB"/>
      </patternFill>
    </fill>
    <fill>
      <patternFill patternType="solid">
        <fgColor rgb="FF1D4ED8"/>
        <bgColor rgb="FF2471A3"/>
      </patternFill>
    </fill>
  </fills>
  <borders count="21">
    <border>
      <left/>
      <right/>
      <top/>
      <bottom/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medium">
        <color rgb="FF922B21"/>
      </left>
      <right style="medium">
        <color rgb="FF922B21"/>
      </right>
      <top style="medium">
        <color rgb="FF922B21"/>
      </top>
      <bottom style="medium">
        <color rgb="FF922B21"/>
      </bottom>
      <diagonal/>
    </border>
    <border>
      <left style="medium">
        <color rgb="FF1B4F72"/>
      </left>
      <right/>
      <top style="medium">
        <color rgb="FF1B4F72"/>
      </top>
      <bottom/>
      <diagonal/>
    </border>
    <border>
      <left style="medium">
        <color rgb="FF145A32"/>
      </left>
      <right/>
      <top style="medium">
        <color rgb="FF145A32"/>
      </top>
      <bottom/>
      <diagonal/>
    </border>
    <border>
      <left style="medium">
        <color rgb="FF0E6655"/>
      </left>
      <right/>
      <top style="medium">
        <color rgb="FF0E6655"/>
      </top>
      <bottom/>
      <diagonal/>
    </border>
    <border>
      <left style="medium">
        <color rgb="FF1E8449"/>
      </left>
      <right/>
      <top style="medium">
        <color rgb="FF1E8449"/>
      </top>
      <bottom/>
      <diagonal/>
    </border>
    <border>
      <left style="medium">
        <color rgb="FF1B4F72"/>
      </left>
      <right/>
      <top/>
      <bottom style="medium">
        <color rgb="FF1B4F72"/>
      </bottom>
      <diagonal/>
    </border>
    <border>
      <left style="medium">
        <color rgb="FF145A32"/>
      </left>
      <right/>
      <top/>
      <bottom style="medium">
        <color rgb="FF145A32"/>
      </bottom>
      <diagonal/>
    </border>
    <border>
      <left style="medium">
        <color rgb="FF0E6655"/>
      </left>
      <right/>
      <top/>
      <bottom style="medium">
        <color rgb="FF0E6655"/>
      </bottom>
      <diagonal/>
    </border>
    <border>
      <left style="medium">
        <color rgb="FF1E8449"/>
      </left>
      <right/>
      <top/>
      <bottom style="medium">
        <color rgb="FF1E8449"/>
      </bottom>
      <diagonal/>
    </border>
    <border>
      <left style="medium">
        <color rgb="FF922B21"/>
      </left>
      <right/>
      <top style="medium">
        <color rgb="FF922B21"/>
      </top>
      <bottom/>
      <diagonal/>
    </border>
    <border>
      <left style="medium">
        <color rgb="FF784212"/>
      </left>
      <right/>
      <top style="medium">
        <color rgb="FF784212"/>
      </top>
      <bottom/>
      <diagonal/>
    </border>
    <border>
      <left style="medium">
        <color rgb="FF2471A3"/>
      </left>
      <right/>
      <top style="medium">
        <color rgb="FF2471A3"/>
      </top>
      <bottom/>
      <diagonal/>
    </border>
    <border>
      <left style="medium">
        <color rgb="FF2C3E50"/>
      </left>
      <right/>
      <top style="medium">
        <color rgb="FF2C3E50"/>
      </top>
      <bottom/>
      <diagonal/>
    </border>
    <border>
      <left style="medium">
        <color rgb="FF922B21"/>
      </left>
      <right/>
      <top/>
      <bottom style="medium">
        <color rgb="FF922B21"/>
      </bottom>
      <diagonal/>
    </border>
    <border>
      <left style="medium">
        <color rgb="FF784212"/>
      </left>
      <right/>
      <top/>
      <bottom style="medium">
        <color rgb="FF784212"/>
      </bottom>
      <diagonal/>
    </border>
    <border>
      <left style="medium">
        <color rgb="FF2471A3"/>
      </left>
      <right/>
      <top/>
      <bottom style="medium">
        <color rgb="FF2471A3"/>
      </bottom>
      <diagonal/>
    </border>
    <border>
      <left style="medium">
        <color rgb="FF2C3E50"/>
      </left>
      <right/>
      <top/>
      <bottom style="medium">
        <color rgb="FF2C3E5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3" borderId="0" xfId="0" applyFill="1"/>
    <xf numFmtId="0" fontId="2" fillId="4" borderId="0" xfId="0" applyFont="1" applyFill="1" applyAlignment="1">
      <alignment horizontal="center" vertical="center" wrapText="1"/>
    </xf>
    <xf numFmtId="0" fontId="0" fillId="4" borderId="0" xfId="0" applyFill="1"/>
    <xf numFmtId="0" fontId="4" fillId="5" borderId="1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7" fillId="10" borderId="19" xfId="0" applyFont="1" applyFill="1" applyBorder="1" applyAlignment="1">
      <alignment horizontal="center" vertical="center" wrapText="1"/>
    </xf>
    <xf numFmtId="0" fontId="17" fillId="18" borderId="19" xfId="0" applyFont="1" applyFill="1" applyBorder="1" applyAlignment="1">
      <alignment horizontal="center" vertical="center" wrapText="1"/>
    </xf>
    <xf numFmtId="0" fontId="17" fillId="14" borderId="19" xfId="0" applyFont="1" applyFill="1" applyBorder="1" applyAlignment="1">
      <alignment horizontal="center" vertical="center" wrapText="1"/>
    </xf>
    <xf numFmtId="0" fontId="17" fillId="19" borderId="19" xfId="0" applyFont="1" applyFill="1" applyBorder="1" applyAlignment="1">
      <alignment horizontal="center" vertical="center" wrapText="1"/>
    </xf>
    <xf numFmtId="0" fontId="17" fillId="11" borderId="19" xfId="0" applyFont="1" applyFill="1" applyBorder="1" applyAlignment="1">
      <alignment horizontal="center" vertical="center" wrapText="1"/>
    </xf>
    <xf numFmtId="0" fontId="17" fillId="13" borderId="19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 wrapText="1"/>
    </xf>
    <xf numFmtId="0" fontId="9" fillId="14" borderId="20" xfId="0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vertical="center" wrapText="1"/>
    </xf>
    <xf numFmtId="0" fontId="9" fillId="10" borderId="20" xfId="0" applyFont="1" applyFill="1" applyBorder="1" applyAlignment="1">
      <alignment horizontal="center" vertical="center" wrapText="1"/>
    </xf>
    <xf numFmtId="0" fontId="9" fillId="19" borderId="20" xfId="0" applyFont="1" applyFill="1" applyBorder="1" applyAlignment="1">
      <alignment horizontal="center" vertical="center" wrapText="1"/>
    </xf>
    <xf numFmtId="0" fontId="9" fillId="11" borderId="20" xfId="0" applyFont="1" applyFill="1" applyBorder="1" applyAlignment="1">
      <alignment horizontal="center" vertical="center" wrapText="1"/>
    </xf>
    <xf numFmtId="0" fontId="9" fillId="13" borderId="20" xfId="0" applyFont="1" applyFill="1" applyBorder="1" applyAlignment="1">
      <alignment horizontal="center" vertical="center" wrapText="1"/>
    </xf>
    <xf numFmtId="0" fontId="18" fillId="20" borderId="19" xfId="0" applyFont="1" applyFill="1" applyBorder="1" applyAlignment="1">
      <alignment horizontal="center" vertical="center" wrapText="1"/>
    </xf>
    <xf numFmtId="3" fontId="19" fillId="20" borderId="19" xfId="0" applyNumberFormat="1" applyFont="1" applyFill="1" applyBorder="1" applyAlignment="1">
      <alignment horizontal="center" vertical="center" wrapText="1"/>
    </xf>
    <xf numFmtId="1" fontId="20" fillId="20" borderId="19" xfId="0" applyNumberFormat="1" applyFont="1" applyFill="1" applyBorder="1" applyAlignment="1">
      <alignment horizontal="center" vertical="center" wrapText="1"/>
    </xf>
    <xf numFmtId="1" fontId="21" fillId="20" borderId="19" xfId="0" applyNumberFormat="1" applyFont="1" applyFill="1" applyBorder="1" applyAlignment="1">
      <alignment horizontal="center" vertical="center" wrapText="1"/>
    </xf>
    <xf numFmtId="1" fontId="22" fillId="20" borderId="19" xfId="0" applyNumberFormat="1" applyFont="1" applyFill="1" applyBorder="1" applyAlignment="1">
      <alignment horizontal="center" vertical="center" wrapText="1"/>
    </xf>
    <xf numFmtId="1" fontId="23" fillId="20" borderId="19" xfId="0" applyNumberFormat="1" applyFont="1" applyFill="1" applyBorder="1" applyAlignment="1">
      <alignment horizontal="center" vertical="center" wrapText="1"/>
    </xf>
    <xf numFmtId="171" fontId="24" fillId="20" borderId="19" xfId="0" applyNumberFormat="1" applyFont="1" applyFill="1" applyBorder="1" applyAlignment="1">
      <alignment horizontal="center" vertical="center" wrapText="1"/>
    </xf>
    <xf numFmtId="1" fontId="19" fillId="20" borderId="19" xfId="0" applyNumberFormat="1" applyFont="1" applyFill="1" applyBorder="1" applyAlignment="1">
      <alignment horizontal="center" vertical="center" wrapText="1"/>
    </xf>
    <xf numFmtId="171" fontId="20" fillId="20" borderId="19" xfId="0" applyNumberFormat="1" applyFont="1" applyFill="1" applyBorder="1" applyAlignment="1">
      <alignment horizontal="center" vertical="center" wrapText="1"/>
    </xf>
    <xf numFmtId="165" fontId="25" fillId="20" borderId="19" xfId="0" applyNumberFormat="1" applyFont="1" applyFill="1" applyBorder="1" applyAlignment="1">
      <alignment horizontal="center" vertical="center" wrapText="1"/>
    </xf>
    <xf numFmtId="1" fontId="25" fillId="20" borderId="19" xfId="0" applyNumberFormat="1" applyFont="1" applyFill="1" applyBorder="1" applyAlignment="1">
      <alignment horizontal="center" vertical="center" wrapText="1"/>
    </xf>
    <xf numFmtId="169" fontId="19" fillId="20" borderId="19" xfId="0" applyNumberFormat="1" applyFont="1" applyFill="1" applyBorder="1" applyAlignment="1">
      <alignment horizontal="center" vertical="center"/>
    </xf>
    <xf numFmtId="0" fontId="20" fillId="20" borderId="19" xfId="0" applyFont="1" applyFill="1" applyBorder="1" applyAlignment="1">
      <alignment horizontal="left" vertical="center" wrapText="1"/>
    </xf>
    <xf numFmtId="0" fontId="18" fillId="21" borderId="19" xfId="0" applyFont="1" applyFill="1" applyBorder="1" applyAlignment="1">
      <alignment horizontal="center" vertical="center" wrapText="1"/>
    </xf>
    <xf numFmtId="3" fontId="19" fillId="21" borderId="19" xfId="0" applyNumberFormat="1" applyFont="1" applyFill="1" applyBorder="1" applyAlignment="1">
      <alignment horizontal="center" vertical="center" wrapText="1"/>
    </xf>
    <xf numFmtId="1" fontId="20" fillId="21" borderId="19" xfId="0" applyNumberFormat="1" applyFont="1" applyFill="1" applyBorder="1" applyAlignment="1">
      <alignment horizontal="center" vertical="center" wrapText="1"/>
    </xf>
    <xf numFmtId="1" fontId="21" fillId="21" borderId="19" xfId="0" applyNumberFormat="1" applyFont="1" applyFill="1" applyBorder="1" applyAlignment="1">
      <alignment horizontal="center" vertical="center" wrapText="1"/>
    </xf>
    <xf numFmtId="1" fontId="22" fillId="21" borderId="19" xfId="0" applyNumberFormat="1" applyFont="1" applyFill="1" applyBorder="1" applyAlignment="1">
      <alignment horizontal="center" vertical="center" wrapText="1"/>
    </xf>
    <xf numFmtId="1" fontId="23" fillId="21" borderId="19" xfId="0" applyNumberFormat="1" applyFont="1" applyFill="1" applyBorder="1" applyAlignment="1">
      <alignment horizontal="center" vertical="center" wrapText="1"/>
    </xf>
    <xf numFmtId="171" fontId="24" fillId="21" borderId="19" xfId="0" applyNumberFormat="1" applyFont="1" applyFill="1" applyBorder="1" applyAlignment="1">
      <alignment horizontal="center" vertical="center" wrapText="1"/>
    </xf>
    <xf numFmtId="1" fontId="19" fillId="21" borderId="19" xfId="0" applyNumberFormat="1" applyFont="1" applyFill="1" applyBorder="1" applyAlignment="1">
      <alignment horizontal="center" vertical="center" wrapText="1"/>
    </xf>
    <xf numFmtId="171" fontId="20" fillId="21" borderId="19" xfId="0" applyNumberFormat="1" applyFont="1" applyFill="1" applyBorder="1" applyAlignment="1">
      <alignment horizontal="center" vertical="center" wrapText="1"/>
    </xf>
    <xf numFmtId="165" fontId="25" fillId="21" borderId="19" xfId="0" applyNumberFormat="1" applyFont="1" applyFill="1" applyBorder="1" applyAlignment="1">
      <alignment horizontal="center" vertical="center" wrapText="1"/>
    </xf>
    <xf numFmtId="1" fontId="25" fillId="21" borderId="19" xfId="0" applyNumberFormat="1" applyFont="1" applyFill="1" applyBorder="1" applyAlignment="1">
      <alignment horizontal="center" vertical="center" wrapText="1"/>
    </xf>
    <xf numFmtId="169" fontId="19" fillId="21" borderId="19" xfId="0" applyNumberFormat="1" applyFont="1" applyFill="1" applyBorder="1" applyAlignment="1">
      <alignment horizontal="center" vertical="center"/>
    </xf>
    <xf numFmtId="0" fontId="20" fillId="21" borderId="19" xfId="0" applyFont="1" applyFill="1" applyBorder="1" applyAlignment="1">
      <alignment horizontal="left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7" fillId="7" borderId="19" xfId="0" applyNumberFormat="1" applyFont="1" applyFill="1" applyBorder="1" applyAlignment="1">
      <alignment horizontal="center" vertical="center" wrapText="1"/>
    </xf>
    <xf numFmtId="165" fontId="7" fillId="7" borderId="19" xfId="0" applyNumberFormat="1" applyFont="1" applyFill="1" applyBorder="1" applyAlignment="1">
      <alignment horizontal="center" vertical="center" wrapText="1"/>
    </xf>
    <xf numFmtId="172" fontId="7" fillId="7" borderId="19" xfId="0" applyNumberFormat="1" applyFont="1" applyFill="1" applyBorder="1" applyAlignment="1">
      <alignment horizontal="center" vertical="center" wrapText="1"/>
    </xf>
    <xf numFmtId="1" fontId="7" fillId="7" borderId="19" xfId="0" applyNumberFormat="1" applyFont="1" applyFill="1" applyBorder="1" applyAlignment="1">
      <alignment horizontal="center" vertical="center" wrapText="1"/>
    </xf>
    <xf numFmtId="171" fontId="7" fillId="7" borderId="19" xfId="0" applyNumberFormat="1" applyFont="1" applyFill="1" applyBorder="1" applyAlignment="1">
      <alignment horizontal="center" vertical="center" wrapText="1"/>
    </xf>
    <xf numFmtId="169" fontId="7" fillId="7" borderId="19" xfId="0" applyNumberFormat="1" applyFont="1" applyFill="1" applyBorder="1" applyAlignment="1">
      <alignment horizontal="center" vertical="center" wrapText="1"/>
    </xf>
    <xf numFmtId="0" fontId="7" fillId="11" borderId="19" xfId="0" applyFont="1" applyFill="1" applyBorder="1" applyAlignment="1">
      <alignment horizontal="center" vertical="center" wrapText="1"/>
    </xf>
    <xf numFmtId="0" fontId="7" fillId="18" borderId="19" xfId="0" applyFont="1" applyFill="1" applyBorder="1" applyAlignment="1">
      <alignment horizontal="center" vertical="center" wrapText="1"/>
    </xf>
    <xf numFmtId="0" fontId="7" fillId="22" borderId="19" xfId="0" applyFont="1" applyFill="1" applyBorder="1" applyAlignment="1">
      <alignment horizontal="center" vertical="center" wrapText="1"/>
    </xf>
    <xf numFmtId="0" fontId="7" fillId="15" borderId="19" xfId="0" applyFont="1" applyFill="1" applyBorder="1" applyAlignment="1">
      <alignment horizontal="center" vertical="center" wrapText="1"/>
    </xf>
    <xf numFmtId="0" fontId="7" fillId="14" borderId="19" xfId="0" applyFont="1" applyFill="1" applyBorder="1" applyAlignment="1">
      <alignment horizontal="center" vertical="center" wrapText="1"/>
    </xf>
    <xf numFmtId="0" fontId="7" fillId="19" borderId="19" xfId="0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 wrapText="1"/>
    </xf>
    <xf numFmtId="0" fontId="7" fillId="13" borderId="19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7" fillId="9" borderId="19" xfId="0" applyFont="1" applyFill="1" applyBorder="1" applyAlignment="1">
      <alignment horizontal="center" vertical="center" wrapText="1"/>
    </xf>
    <xf numFmtId="0" fontId="20" fillId="20" borderId="19" xfId="0" applyFont="1" applyFill="1" applyBorder="1" applyAlignment="1">
      <alignment horizontal="center" vertical="center" wrapText="1"/>
    </xf>
    <xf numFmtId="9" fontId="4" fillId="5" borderId="19" xfId="0" applyNumberFormat="1" applyFont="1" applyFill="1" applyBorder="1" applyAlignment="1">
      <alignment horizontal="center" vertical="center" wrapText="1"/>
    </xf>
    <xf numFmtId="9" fontId="31" fillId="20" borderId="19" xfId="0" applyNumberFormat="1" applyFont="1" applyFill="1" applyBorder="1" applyAlignment="1">
      <alignment horizontal="center" vertical="center" wrapText="1"/>
    </xf>
    <xf numFmtId="9" fontId="32" fillId="5" borderId="19" xfId="0" applyNumberFormat="1" applyFont="1" applyFill="1" applyBorder="1" applyAlignment="1">
      <alignment horizontal="center" vertical="center" wrapText="1"/>
    </xf>
    <xf numFmtId="0" fontId="20" fillId="21" borderId="19" xfId="0" applyFont="1" applyFill="1" applyBorder="1" applyAlignment="1">
      <alignment horizontal="center" vertical="center" wrapText="1"/>
    </xf>
    <xf numFmtId="9" fontId="31" fillId="21" borderId="19" xfId="0" applyNumberFormat="1" applyFont="1" applyFill="1" applyBorder="1" applyAlignment="1">
      <alignment horizontal="center" vertical="center" wrapText="1"/>
    </xf>
    <xf numFmtId="1" fontId="34" fillId="5" borderId="19" xfId="0" applyNumberFormat="1" applyFont="1" applyFill="1" applyBorder="1" applyAlignment="1">
      <alignment horizontal="center" vertical="center" wrapText="1"/>
    </xf>
    <xf numFmtId="0" fontId="3" fillId="20" borderId="19" xfId="0" applyFont="1" applyFill="1" applyBorder="1" applyAlignment="1">
      <alignment horizontal="left" vertical="center"/>
    </xf>
    <xf numFmtId="1" fontId="32" fillId="5" borderId="19" xfId="0" applyNumberFormat="1" applyFont="1" applyFill="1" applyBorder="1" applyAlignment="1">
      <alignment horizontal="center" vertical="center" wrapText="1"/>
    </xf>
    <xf numFmtId="0" fontId="3" fillId="21" borderId="19" xfId="0" applyFont="1" applyFill="1" applyBorder="1" applyAlignment="1">
      <alignment horizontal="left" vertical="center"/>
    </xf>
    <xf numFmtId="0" fontId="35" fillId="23" borderId="0" xfId="0" applyFont="1" applyFill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24" borderId="0" xfId="0" applyFont="1" applyFill="1" applyAlignment="1">
      <alignment vertical="center"/>
    </xf>
    <xf numFmtId="0" fontId="37" fillId="25" borderId="0" xfId="0" applyFont="1" applyFill="1" applyAlignment="1">
      <alignment vertical="center"/>
    </xf>
    <xf numFmtId="0" fontId="36" fillId="26" borderId="0" xfId="0" applyFont="1" applyFill="1" applyAlignment="1">
      <alignment vertical="center"/>
    </xf>
    <xf numFmtId="0" fontId="37" fillId="27" borderId="0" xfId="0" applyFont="1" applyFill="1" applyAlignment="1">
      <alignment vertical="center"/>
    </xf>
    <xf numFmtId="9" fontId="37" fillId="24" borderId="0" xfId="0" applyNumberFormat="1" applyFont="1" applyFill="1" applyAlignment="1">
      <alignment vertical="center"/>
    </xf>
    <xf numFmtId="9" fontId="37" fillId="27" borderId="0" xfId="0" applyNumberFormat="1" applyFont="1" applyFill="1" applyAlignment="1">
      <alignment vertical="center"/>
    </xf>
    <xf numFmtId="0" fontId="35" fillId="23" borderId="0" xfId="0" applyFont="1" applyFill="1" applyAlignment="1">
      <alignment horizontal="center" vertical="center" wrapText="1"/>
    </xf>
    <xf numFmtId="3" fontId="36" fillId="0" borderId="0" xfId="0" applyNumberFormat="1" applyFont="1" applyAlignment="1">
      <alignment vertical="center"/>
    </xf>
    <xf numFmtId="169" fontId="36" fillId="0" borderId="0" xfId="0" applyNumberFormat="1" applyFont="1" applyAlignment="1">
      <alignment vertical="center"/>
    </xf>
    <xf numFmtId="0" fontId="37" fillId="29" borderId="0" xfId="0" applyFont="1" applyFill="1" applyAlignment="1">
      <alignment vertical="center"/>
    </xf>
    <xf numFmtId="9" fontId="36" fillId="0" borderId="0" xfId="0" applyNumberFormat="1" applyFont="1" applyAlignment="1">
      <alignment horizontal="center" vertical="center"/>
    </xf>
    <xf numFmtId="173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28" borderId="0" xfId="0" applyFont="1" applyFill="1" applyAlignment="1">
      <alignment vertical="center" wrapText="1"/>
    </xf>
    <xf numFmtId="0" fontId="36" fillId="0" borderId="0" xfId="0" applyFont="1" applyAlignment="1">
      <alignment vertical="center" wrapText="1"/>
    </xf>
    <xf numFmtId="0" fontId="35" fillId="30" borderId="0" xfId="0" applyFont="1" applyFill="1" applyAlignment="1">
      <alignment vertical="center" wrapText="1"/>
    </xf>
    <xf numFmtId="0" fontId="40" fillId="19" borderId="20" xfId="0" applyFont="1" applyFill="1" applyBorder="1" applyAlignment="1">
      <alignment horizontal="center" vertical="center" wrapText="1"/>
    </xf>
    <xf numFmtId="1" fontId="41" fillId="20" borderId="19" xfId="0" applyNumberFormat="1" applyFont="1" applyFill="1" applyBorder="1" applyAlignment="1">
      <alignment horizontal="center" vertical="center" wrapText="1"/>
    </xf>
    <xf numFmtId="1" fontId="41" fillId="21" borderId="19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0" fontId="9" fillId="8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center" vertical="center" wrapText="1"/>
    </xf>
    <xf numFmtId="165" fontId="11" fillId="12" borderId="8" xfId="0" applyNumberFormat="1" applyFont="1" applyFill="1" applyBorder="1" applyAlignment="1">
      <alignment horizontal="center" vertical="center" wrapText="1"/>
    </xf>
    <xf numFmtId="165" fontId="39" fillId="10" borderId="9" xfId="0" applyNumberFormat="1" applyFont="1" applyFill="1" applyBorder="1" applyAlignment="1">
      <alignment horizontal="center" vertical="center" wrapText="1"/>
    </xf>
    <xf numFmtId="165" fontId="12" fillId="12" borderId="10" xfId="0" applyNumberFormat="1" applyFont="1" applyFill="1" applyBorder="1" applyAlignment="1">
      <alignment horizontal="center" vertical="center" wrapText="1"/>
    </xf>
    <xf numFmtId="0" fontId="9" fillId="13" borderId="11" xfId="0" applyFont="1" applyFill="1" applyBorder="1" applyAlignment="1">
      <alignment horizontal="center" vertical="center" wrapText="1"/>
    </xf>
    <xf numFmtId="0" fontId="9" fillId="14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horizontal="center" vertical="center" wrapText="1"/>
    </xf>
    <xf numFmtId="166" fontId="13" fillId="16" borderId="15" xfId="0" applyNumberFormat="1" applyFont="1" applyFill="1" applyBorder="1" applyAlignment="1">
      <alignment horizontal="center" vertical="center" wrapText="1"/>
    </xf>
    <xf numFmtId="167" fontId="13" fillId="16" borderId="15" xfId="0" applyNumberFormat="1" applyFont="1" applyFill="1" applyBorder="1" applyAlignment="1">
      <alignment horizontal="center" vertical="center" wrapText="1"/>
    </xf>
    <xf numFmtId="168" fontId="14" fillId="17" borderId="16" xfId="0" applyNumberFormat="1" applyFont="1" applyFill="1" applyBorder="1" applyAlignment="1">
      <alignment horizontal="center" vertical="center" wrapText="1"/>
    </xf>
    <xf numFmtId="169" fontId="15" fillId="6" borderId="17" xfId="0" applyNumberFormat="1" applyFont="1" applyFill="1" applyBorder="1" applyAlignment="1">
      <alignment horizontal="center" vertical="center" wrapText="1"/>
    </xf>
    <xf numFmtId="170" fontId="16" fillId="3" borderId="18" xfId="0" applyNumberFormat="1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26" fillId="6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27" fillId="6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28" fillId="21" borderId="0" xfId="0" applyFont="1" applyFill="1" applyAlignment="1">
      <alignment horizontal="left" vertical="center" wrapText="1"/>
    </xf>
    <xf numFmtId="0" fontId="8" fillId="14" borderId="0" xfId="0" applyFont="1" applyFill="1" applyAlignment="1">
      <alignment horizontal="left" vertical="center"/>
    </xf>
    <xf numFmtId="0" fontId="33" fillId="17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horizontal="left" vertical="center"/>
    </xf>
    <xf numFmtId="0" fontId="30" fillId="6" borderId="0" xfId="0" applyFont="1" applyFill="1" applyAlignment="1">
      <alignment horizontal="left" vertical="center"/>
    </xf>
    <xf numFmtId="0" fontId="33" fillId="6" borderId="0" xfId="0" applyFont="1" applyFill="1" applyAlignment="1">
      <alignment horizontal="left" vertical="center" wrapText="1"/>
    </xf>
    <xf numFmtId="0" fontId="38" fillId="28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991B1B"/>
      <rgbColor rgb="FF145A32"/>
      <rgbColor rgb="FF111827"/>
      <rgbColor rgb="FF808000"/>
      <rgbColor rgb="FF800080"/>
      <rgbColor rgb="FF2471A3"/>
      <rgbColor rgb="FFBBBBBB"/>
      <rgbColor rgb="FF717D7E"/>
      <rgbColor rgb="FFEAF2FF"/>
      <rgbColor rgb="FF784212"/>
      <rgbColor rgb="FFFEF3C7"/>
      <rgbColor rgb="FFD6EAF8"/>
      <rgbColor rgb="FF660066"/>
      <rgbColor rgb="FFEFF6FF"/>
      <rgbColor rgb="FF1D4ED8"/>
      <rgbColor rgb="FFD9D9D9"/>
      <rgbColor rgb="FF000080"/>
      <rgbColor rgb="FFFF00FF"/>
      <rgbColor rgb="FFF4F6F7"/>
      <rgbColor rgb="FF00FFFF"/>
      <rgbColor rgb="FF800080"/>
      <rgbColor rgb="FF800000"/>
      <rgbColor rgb="FF0E6655"/>
      <rgbColor rgb="FF0000FF"/>
      <rgbColor rgb="FF00CCFF"/>
      <rgbColor rgb="FFECFDF5"/>
      <rgbColor rgb="FFD5F5E3"/>
      <rgbColor rgb="FFFDEBD0"/>
      <rgbColor rgb="FFE8DAEF"/>
      <rgbColor rgb="FFFEE2E2"/>
      <rgbColor rgb="FFEAECEE"/>
      <rgbColor rgb="FFFADBD8"/>
      <rgbColor rgb="FF2196F3"/>
      <rgbColor rgb="FF33CCCC"/>
      <rgbColor rgb="FFF8FAFC"/>
      <rgbColor rgb="FFF9FAFB"/>
      <rgbColor rgb="FFD68910"/>
      <rgbColor rgb="FFE74C3C"/>
      <rgbColor rgb="FF666699"/>
      <rgbColor rgb="FFB3B3B3"/>
      <rgbColor rgb="FF1B4F72"/>
      <rgbColor rgb="FF1E8449"/>
      <rgbColor rgb="FF0D1B2A"/>
      <rgbColor rgb="FF1F2937"/>
      <rgbColor rgb="FF922B21"/>
      <rgbColor rgb="FF993366"/>
      <rgbColor rgb="FF444444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Cascada: Presupuestados vs Pool Pickers vs Pickers Necesarios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Dashboard!$F$16</c:f>
              <c:strCache>
                <c:ptCount val="1"/>
                <c:pt idx="0">
                  <c:v>OP.
PRESUP.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Dashboard!$F$17:$F$28</c:f>
              <c:numCache>
                <c:formatCode>0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10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7-4173-A838-A9D3829D25D9}"/>
            </c:ext>
          </c:extLst>
        </c:ser>
        <c:ser>
          <c:idx val="1"/>
          <c:order val="1"/>
          <c:tx>
            <c:strRef>
              <c:f>Dashboard!$K$16</c:f>
              <c:strCache>
                <c:ptCount val="1"/>
                <c:pt idx="0">
                  <c:v>POOL
PICKERS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Dashboard!$K$17:$K$28</c:f>
              <c:numCache>
                <c:formatCode>0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37-4173-A838-A9D3829D25D9}"/>
            </c:ext>
          </c:extLst>
        </c:ser>
        <c:ser>
          <c:idx val="2"/>
          <c:order val="2"/>
          <c:tx>
            <c:strRef>
              <c:f>Dashboard!$L$16</c:f>
              <c:strCache>
                <c:ptCount val="1"/>
                <c:pt idx="0">
                  <c:v>PICKERS
NECES.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Dashboard!$L$17:$L$28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37-4173-A838-A9D3829D2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7431371"/>
        <c:axId val="9586060"/>
      </c:barChart>
      <c:catAx>
        <c:axId val="474313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586060"/>
        <c:crosses val="autoZero"/>
        <c:auto val="1"/>
        <c:lblAlgn val="ctr"/>
        <c:lblOffset val="100"/>
        <c:noMultiLvlLbl val="0"/>
      </c:catAx>
      <c:valAx>
        <c:axId val="95860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4313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Brecha Picking por Mes (Pool − Pickers Necesarios)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Dashboard!$M$16</c:f>
              <c:strCache>
                <c:ptCount val="1"/>
                <c:pt idx="0">
                  <c:v>BRECHA
PICKING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Dashboard!$M$17:$M$28</c:f>
              <c:numCache>
                <c:formatCode>[Green]\+0;[Red]\-0;\-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1-4FC9-AB52-CC25C0592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61444623"/>
        <c:axId val="76061185"/>
      </c:barChart>
      <c:catAx>
        <c:axId val="614446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6061185"/>
        <c:crosses val="autoZero"/>
        <c:auto val="1"/>
        <c:lblAlgn val="ctr"/>
        <c:lblOffset val="100"/>
        <c:noMultiLvlLbl val="0"/>
      </c:catAx>
      <c:valAx>
        <c:axId val="7606118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Personas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[Green]\+0;[Red]\-0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144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s-AR"/>
              <a:t>% Utilización Diaria de Capacidad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Dashboard!$U$16</c:f>
              <c:strCache>
                <c:ptCount val="1"/>
                <c:pt idx="0">
                  <c:v>% UTIL.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Dashboard!$U$17:$U$28</c:f>
              <c:numCache>
                <c:formatCode>0.0%</c:formatCode>
                <c:ptCount val="12"/>
                <c:pt idx="0">
                  <c:v>0.50420168067226889</c:v>
                </c:pt>
                <c:pt idx="1">
                  <c:v>0.40336134453781514</c:v>
                </c:pt>
                <c:pt idx="2">
                  <c:v>0.38095238095238093</c:v>
                </c:pt>
                <c:pt idx="3">
                  <c:v>0.54285714285714282</c:v>
                </c:pt>
                <c:pt idx="4">
                  <c:v>0.54285714285714282</c:v>
                </c:pt>
                <c:pt idx="5">
                  <c:v>0.54285714285714282</c:v>
                </c:pt>
                <c:pt idx="6">
                  <c:v>0.54285714285714282</c:v>
                </c:pt>
                <c:pt idx="7">
                  <c:v>0.54285714285714282</c:v>
                </c:pt>
                <c:pt idx="8">
                  <c:v>0.54285714285714282</c:v>
                </c:pt>
                <c:pt idx="9">
                  <c:v>0.45238095238095238</c:v>
                </c:pt>
                <c:pt idx="10">
                  <c:v>0.38095238095238093</c:v>
                </c:pt>
                <c:pt idx="11">
                  <c:v>0.5714285714285714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07-4DD7-B05F-5DD5247C2D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</a:ln>
            <a:effectLst/>
          </c:spPr>
        </c:hiLowLines>
        <c:marker val="1"/>
        <c:smooth val="0"/>
        <c:axId val="22962160"/>
        <c:axId val="61839381"/>
      </c:lineChart>
      <c:catAx>
        <c:axId val="22962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1839381"/>
        <c:crosses val="autoZero"/>
        <c:auto val="1"/>
        <c:lblAlgn val="ctr"/>
        <c:lblOffset val="100"/>
        <c:noMultiLvlLbl val="0"/>
      </c:catAx>
      <c:valAx>
        <c:axId val="6183938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% Utilización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%" sourceLinked="0"/>
        <c:majorTickMark val="none"/>
        <c:minorTickMark val="none"/>
        <c:tickLblPos val="nextTo"/>
        <c:crossAx val="2296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Autoelevadores: Requeridos vs Disponibles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Dashboard!$N$16</c:f>
              <c:strCache>
                <c:ptCount val="1"/>
                <c:pt idx="0">
                  <c:v>AUTO
REQ./DÍA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Dashboard!$N$17:$N$28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A-40C6-817B-64A4201CE80F}"/>
            </c:ext>
          </c:extLst>
        </c:ser>
        <c:ser>
          <c:idx val="1"/>
          <c:order val="1"/>
          <c:tx>
            <c:strRef>
              <c:f>Dashboard!$O$16</c:f>
              <c:strCache>
                <c:ptCount val="1"/>
                <c:pt idx="0">
                  <c:v>AUTO
DISP.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Dashboard!$O$17:$O$28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A-40C6-817B-64A4201CE8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84818481"/>
        <c:axId val="72605595"/>
      </c:barChart>
      <c:catAx>
        <c:axId val="848184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605595"/>
        <c:crosses val="autoZero"/>
        <c:auto val="1"/>
        <c:lblAlgn val="ctr"/>
        <c:lblOffset val="100"/>
        <c:noMultiLvlLbl val="0"/>
      </c:catAx>
      <c:valAx>
        <c:axId val="726055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Unidades/día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48184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37</xdr:row>
      <xdr:rowOff>152400</xdr:rowOff>
    </xdr:from>
    <xdr:to>
      <xdr:col>11</xdr:col>
      <xdr:colOff>115765</xdr:colOff>
      <xdr:row>53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142875</xdr:colOff>
      <xdr:row>38</xdr:row>
      <xdr:rowOff>0</xdr:rowOff>
    </xdr:from>
    <xdr:to>
      <xdr:col>21</xdr:col>
      <xdr:colOff>1657350</xdr:colOff>
      <xdr:row>53</xdr:row>
      <xdr:rowOff>38101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53</xdr:row>
      <xdr:rowOff>57150</xdr:rowOff>
    </xdr:from>
    <xdr:to>
      <xdr:col>11</xdr:col>
      <xdr:colOff>75595</xdr:colOff>
      <xdr:row>73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152399</xdr:colOff>
      <xdr:row>53</xdr:row>
      <xdr:rowOff>57150</xdr:rowOff>
    </xdr:from>
    <xdr:to>
      <xdr:col>21</xdr:col>
      <xdr:colOff>1647824</xdr:colOff>
      <xdr:row>73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Volumen" displayName="tblVolumen" ref="A1:G69" totalsRowShown="0">
  <tableColumns count="7">
    <tableColumn id="1" xr3:uid="{00000000-0010-0000-0000-000001000000}" name="Sucursal"/>
    <tableColumn id="2" xr3:uid="{00000000-0010-0000-0000-000002000000}" name="Año"/>
    <tableColumn id="3" xr3:uid="{00000000-0010-0000-0000-000003000000}" name="Mes Nro"/>
    <tableColumn id="4" xr3:uid="{00000000-0010-0000-0000-000004000000}" name="Mes"/>
    <tableColumn id="5" xr3:uid="{00000000-0010-0000-0000-000005000000}" name="Bultos base"/>
    <tableColumn id="6" xr3:uid="{00000000-0010-0000-0000-000006000000}" name="HL base"/>
    <tableColumn id="7" xr3:uid="{00000000-0010-0000-0000-000007000000}" name="Pallets bas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Dotacion" displayName="tblDotacion" ref="A1:M49" totalsRowShown="0">
  <tableColumns count="13">
    <tableColumn id="1" xr3:uid="{00000000-0010-0000-0100-000001000000}" name="Sucursal"/>
    <tableColumn id="2" xr3:uid="{00000000-0010-0000-0100-000002000000}" name="Año"/>
    <tableColumn id="3" xr3:uid="{00000000-0010-0000-0100-000003000000}" name="Mes Nro"/>
    <tableColumn id="4" xr3:uid="{00000000-0010-0000-0100-000004000000}" name="Mes"/>
    <tableColumn id="5" xr3:uid="{00000000-0010-0000-0100-000005000000}" name="Operarios fijos planificados"/>
    <tableColumn id="6" xr3:uid="{00000000-0010-0000-0100-000006000000}" name="Operarios temporarios planificados"/>
    <tableColumn id="7" xr3:uid="{00000000-0010-0000-0100-000007000000}" name="Operarios fijos reales"/>
    <tableColumn id="8" xr3:uid="{00000000-0010-0000-0100-000008000000}" name="Operarios temporarios reales"/>
    <tableColumn id="9" xr3:uid="{00000000-0010-0000-0100-000009000000}" name="Operarios planificados totales">
      <calculatedColumnFormula>+tblDotacion[[#This Row],[Operarios fijos planificados]]+tblDotacion[[#This Row],[Operarios temporarios planificados]]</calculatedColumnFormula>
    </tableColumn>
    <tableColumn id="10" xr3:uid="{00000000-0010-0000-0100-00000A000000}" name="Ausentismo %"/>
    <tableColumn id="11" xr3:uid="{00000000-0010-0000-0100-00000B000000}" name="Autoelevadores propios"/>
    <tableColumn id="12" xr3:uid="{00000000-0010-0000-0100-00000C000000}" name="Autoelevadores alquilados"/>
    <tableColumn id="13" xr3:uid="{00000000-0010-0000-0100-00000D000000}" name="Autoelevadores disponibl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Vacios" displayName="tblVacios" ref="A1:G69" totalsRowShown="0">
  <autoFilter ref="A1:G69" xr:uid="{00000000-000C-0000-FFFF-FFFF02000000}">
    <filterColumn colId="1">
      <filters>
        <filter val="2026"/>
      </filters>
    </filterColumn>
    <filterColumn colId="3">
      <filters>
        <filter val="Enero"/>
      </filters>
    </filterColumn>
  </autoFilter>
  <tableColumns count="7">
    <tableColumn id="1" xr3:uid="{00000000-0010-0000-0200-000001000000}" name="Sucursal"/>
    <tableColumn id="2" xr3:uid="{00000000-0010-0000-0200-000002000000}" name="Año"/>
    <tableColumn id="3" xr3:uid="{00000000-0010-0000-0200-000003000000}" name="Mes Nro"/>
    <tableColumn id="4" xr3:uid="{00000000-0010-0000-0200-000004000000}" name="Mes"/>
    <tableColumn id="5" xr3:uid="{00000000-0010-0000-0200-000005000000}" name="Calibre"/>
    <tableColumn id="6" xr3:uid="{00000000-0010-0000-0200-000006000000}" name="Participa en vacíos"/>
    <tableColumn id="7" xr3:uid="{00000000-0010-0000-0200-000007000000}" name="Pallets vendid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"/>
  <sheetViews>
    <sheetView showGridLines="0" topLeftCell="A11" zoomScale="130" zoomScaleNormal="130" workbookViewId="0">
      <selection activeCell="A27" sqref="A27"/>
    </sheetView>
  </sheetViews>
  <sheetFormatPr baseColWidth="10" defaultColWidth="28.140625" defaultRowHeight="12.75" x14ac:dyDescent="0.2"/>
  <cols>
    <col min="1" max="1" width="15.28515625" bestFit="1" customWidth="1"/>
    <col min="2" max="2" width="6.5703125" bestFit="1" customWidth="1"/>
    <col min="3" max="3" width="13" bestFit="1" customWidth="1"/>
    <col min="4" max="5" width="5.7109375" bestFit="1" customWidth="1"/>
    <col min="6" max="6" width="7.140625" bestFit="1" customWidth="1"/>
    <col min="7" max="7" width="5" bestFit="1" customWidth="1"/>
    <col min="8" max="8" width="7.5703125" bestFit="1" customWidth="1"/>
    <col min="9" max="9" width="6" bestFit="1" customWidth="1"/>
    <col min="10" max="10" width="7.42578125" bestFit="1" customWidth="1"/>
    <col min="11" max="12" width="6.28515625" bestFit="1" customWidth="1"/>
    <col min="13" max="13" width="7" bestFit="1" customWidth="1"/>
    <col min="14" max="14" width="7.28515625" bestFit="1" customWidth="1"/>
    <col min="15" max="15" width="5.140625" bestFit="1" customWidth="1"/>
    <col min="16" max="16" width="7" bestFit="1" customWidth="1"/>
    <col min="17" max="17" width="6.7109375" bestFit="1" customWidth="1"/>
    <col min="18" max="18" width="7.42578125" bestFit="1" customWidth="1"/>
    <col min="19" max="19" width="6" bestFit="1" customWidth="1"/>
    <col min="20" max="20" width="5.7109375" bestFit="1" customWidth="1"/>
    <col min="21" max="21" width="6" bestFit="1" customWidth="1"/>
    <col min="22" max="22" width="26.28515625" bestFit="1" customWidth="1"/>
  </cols>
  <sheetData>
    <row r="1" spans="1:22" ht="18.75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</row>
    <row r="2" spans="1:22" x14ac:dyDescent="0.2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2" x14ac:dyDescent="0.2">
      <c r="A3" s="2" t="s">
        <v>1</v>
      </c>
      <c r="B3" s="3"/>
      <c r="C3" s="2" t="s">
        <v>2</v>
      </c>
      <c r="D3" s="3"/>
      <c r="E3" s="2" t="s">
        <v>3</v>
      </c>
      <c r="F3" s="3"/>
      <c r="G3" s="103" t="s">
        <v>4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</row>
    <row r="4" spans="1:22" ht="15" x14ac:dyDescent="0.2">
      <c r="A4" s="4" t="s">
        <v>5</v>
      </c>
      <c r="C4" s="5">
        <v>0.1</v>
      </c>
      <c r="E4" s="4">
        <v>2026</v>
      </c>
      <c r="G4" s="104" t="s">
        <v>6</v>
      </c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</row>
    <row r="5" spans="1:22" x14ac:dyDescent="0.2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</row>
    <row r="6" spans="1:22" x14ac:dyDescent="0.2">
      <c r="A6" s="6" t="s">
        <v>7</v>
      </c>
      <c r="B6" s="105" t="str">
        <f ca="1">IF(MIN(M17:M28)&lt;-2,"🔴 BRECHA CRÍTICA — Peor mes: "&amp;INDEX(A17:A28,MATCH(MIN(M17:M28),M17:M28,0))&amp;" — faltan "&amp;ABS(MIN(M17:M28))&amp;" pickers. Contratar urgente.",IF(MIN(M17:M28)&lt;0,"⚠ FALTAN PICKERS — Peor mes: "&amp;INDEX(A17:A28,MATCH(MIN(M17:M28),M17:M28,0))&amp;" — faltan "&amp;ABS(MIN(M17:M28))&amp;" persona(s).",IF(COUNTIF(P17:P28,"&lt;0")&gt;0,"⚠ BRECHA MHE — hay meses sin autoelevadores suficientes.","✅ CAPACIDAD OK con escenario "&amp;TEXT(C4,"+0%;-0%;0%")&amp;". Pickers suficientes todo el año.")))</f>
        <v>✅ CAPACIDAD OK con escenario +10%. Pickers suficientes todo el año.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</row>
    <row r="7" spans="1:22" x14ac:dyDescent="0.2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</row>
    <row r="8" spans="1:22" ht="16.5" customHeight="1" x14ac:dyDescent="0.2">
      <c r="A8" s="106" t="s">
        <v>8</v>
      </c>
      <c r="B8" s="106"/>
      <c r="C8" s="106"/>
      <c r="D8" s="106" t="s">
        <v>9</v>
      </c>
      <c r="E8" s="106"/>
      <c r="F8" s="106"/>
      <c r="G8" s="107" t="s">
        <v>10</v>
      </c>
      <c r="H8" s="107"/>
      <c r="I8" s="107"/>
      <c r="J8" s="108" t="s">
        <v>11</v>
      </c>
      <c r="K8" s="108"/>
      <c r="L8" s="108"/>
      <c r="M8" s="109" t="s">
        <v>12</v>
      </c>
      <c r="N8" s="109"/>
      <c r="O8" s="109"/>
    </row>
    <row r="9" spans="1:22" ht="15.75" x14ac:dyDescent="0.2">
      <c r="A9" s="110">
        <f>SUM(C17:C28)</f>
        <v>1008980.5000000002</v>
      </c>
      <c r="B9" s="110"/>
      <c r="C9" s="110"/>
      <c r="D9" s="110">
        <f>SUM(E17:E28)</f>
        <v>94090.700000000012</v>
      </c>
      <c r="E9" s="110"/>
      <c r="F9" s="110"/>
      <c r="G9" s="111">
        <f>IFERROR(AVERAGE(F17:F28),0)</f>
        <v>9.0833333333333339</v>
      </c>
      <c r="H9" s="111"/>
      <c r="I9" s="111"/>
      <c r="J9" s="112">
        <f ca="1">IFERROR(AVERAGE(K17:K28),0)</f>
        <v>4.166666666666667</v>
      </c>
      <c r="K9" s="112"/>
      <c r="L9" s="112"/>
      <c r="M9" s="113">
        <f ca="1">IFERROR(AVERAGE(L17:L28),0)</f>
        <v>1.9166666666666667</v>
      </c>
      <c r="N9" s="113"/>
      <c r="O9" s="113"/>
    </row>
    <row r="11" spans="1:22" x14ac:dyDescent="0.2">
      <c r="A11" s="114" t="s">
        <v>13</v>
      </c>
      <c r="B11" s="114"/>
      <c r="C11" s="114"/>
      <c r="D11" s="114" t="s">
        <v>14</v>
      </c>
      <c r="E11" s="114"/>
      <c r="F11" s="114"/>
      <c r="G11" s="115" t="s">
        <v>15</v>
      </c>
      <c r="H11" s="115"/>
      <c r="I11" s="115"/>
      <c r="J11" s="116" t="s">
        <v>16</v>
      </c>
      <c r="K11" s="116"/>
      <c r="L11" s="116"/>
      <c r="M11" s="117" t="s">
        <v>17</v>
      </c>
      <c r="N11" s="117"/>
      <c r="O11" s="117"/>
    </row>
    <row r="12" spans="1:22" ht="15.75" x14ac:dyDescent="0.2">
      <c r="A12" s="118">
        <f ca="1">IFERROR(MIN(M17:M28),0)</f>
        <v>1</v>
      </c>
      <c r="B12" s="118"/>
      <c r="C12" s="118"/>
      <c r="D12" s="119">
        <f ca="1">COUNTIF(M17:M28,"&lt;0")</f>
        <v>0</v>
      </c>
      <c r="E12" s="119"/>
      <c r="F12" s="119"/>
      <c r="G12" s="120">
        <f ca="1">IFERROR(MAX(N17:N28),0)</f>
        <v>4</v>
      </c>
      <c r="H12" s="120"/>
      <c r="I12" s="120"/>
      <c r="J12" s="121">
        <f ca="1">IFERROR(AVERAGE(U17:U28),0)</f>
        <v>0.49586834733893542</v>
      </c>
      <c r="K12" s="121"/>
      <c r="L12" s="121"/>
      <c r="M12" s="122">
        <f ca="1">IFERROR(AVERAGE(T17:T28),0)</f>
        <v>26.083333333333332</v>
      </c>
      <c r="N12" s="122"/>
      <c r="O12" s="122"/>
    </row>
    <row r="13" spans="1:22" x14ac:dyDescent="0.2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</row>
    <row r="14" spans="1:22" x14ac:dyDescent="0.2">
      <c r="A14" s="123" t="s">
        <v>18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</row>
    <row r="15" spans="1:22" ht="16.5" x14ac:dyDescent="0.2">
      <c r="A15" s="7" t="s">
        <v>19</v>
      </c>
      <c r="B15" s="124" t="s">
        <v>20</v>
      </c>
      <c r="C15" s="124"/>
      <c r="D15" s="125" t="s">
        <v>21</v>
      </c>
      <c r="E15" s="125"/>
      <c r="F15" s="8" t="s">
        <v>22</v>
      </c>
      <c r="G15" s="9" t="s">
        <v>23</v>
      </c>
      <c r="H15" s="10" t="s">
        <v>24</v>
      </c>
      <c r="I15" s="11" t="s">
        <v>25</v>
      </c>
      <c r="J15" s="12" t="s">
        <v>26</v>
      </c>
      <c r="K15" s="9" t="s">
        <v>27</v>
      </c>
      <c r="L15" s="13" t="s">
        <v>28</v>
      </c>
      <c r="M15" s="14" t="s">
        <v>29</v>
      </c>
      <c r="N15" s="11" t="s">
        <v>30</v>
      </c>
      <c r="O15" s="10" t="s">
        <v>31</v>
      </c>
      <c r="P15" s="14" t="s">
        <v>32</v>
      </c>
      <c r="Q15" s="124" t="s">
        <v>33</v>
      </c>
      <c r="R15" s="124"/>
      <c r="S15" s="124"/>
      <c r="T15" s="15" t="s">
        <v>34</v>
      </c>
      <c r="U15" s="9" t="s">
        <v>35</v>
      </c>
      <c r="V15" s="7" t="s">
        <v>36</v>
      </c>
    </row>
    <row r="16" spans="1:22" ht="33.75" x14ac:dyDescent="0.2">
      <c r="A16" s="16" t="s">
        <v>19</v>
      </c>
      <c r="B16" s="17" t="s">
        <v>37</v>
      </c>
      <c r="C16" s="18" t="s">
        <v>38</v>
      </c>
      <c r="D16" s="19" t="s">
        <v>39</v>
      </c>
      <c r="E16" s="20" t="s">
        <v>40</v>
      </c>
      <c r="F16" s="21" t="s">
        <v>41</v>
      </c>
      <c r="G16" s="22" t="s">
        <v>42</v>
      </c>
      <c r="H16" s="19" t="s">
        <v>43</v>
      </c>
      <c r="I16" s="20" t="s">
        <v>44</v>
      </c>
      <c r="J16" s="98" t="s">
        <v>45</v>
      </c>
      <c r="K16" s="22" t="s">
        <v>46</v>
      </c>
      <c r="L16" s="24" t="s">
        <v>47</v>
      </c>
      <c r="M16" s="25" t="s">
        <v>48</v>
      </c>
      <c r="N16" s="20" t="s">
        <v>49</v>
      </c>
      <c r="O16" s="19" t="s">
        <v>31</v>
      </c>
      <c r="P16" s="25" t="s">
        <v>32</v>
      </c>
      <c r="Q16" s="19" t="s">
        <v>50</v>
      </c>
      <c r="R16" s="23" t="s">
        <v>51</v>
      </c>
      <c r="S16" s="17" t="s">
        <v>52</v>
      </c>
      <c r="T16" s="17" t="s">
        <v>34</v>
      </c>
      <c r="U16" s="22" t="s">
        <v>35</v>
      </c>
      <c r="V16" s="16" t="s">
        <v>36</v>
      </c>
    </row>
    <row r="17" spans="1:22" x14ac:dyDescent="0.2">
      <c r="A17" s="26" t="s">
        <v>53</v>
      </c>
      <c r="B17" s="27">
        <f>IFERROR(IF(SUMIFS(Datos_Volumen!$E:$E,Datos_Volumen!$A:$A,$A$4,Datos_Volumen!$B:$B,$E$4,Datos_Volumen!$C:$C,1)&gt;0,SUMIFS(Datos_Volumen!$E:$E,Datos_Volumen!$A:$A,$A$4,Datos_Volumen!$B:$B,$E$4,Datos_Volumen!$C:$C,1),SUMIFS(Datos_Volumen!$E:$E,Datos_Volumen!$A:$A,$A$4,Datos_Volumen!$B:$B,$E$4-1,Datos_Volumen!$C:$C,1)),0)</f>
        <v>252960</v>
      </c>
      <c r="C17" s="27">
        <f t="shared" ref="C17:C28" si="0">B17*(1+$C$4)</f>
        <v>278256</v>
      </c>
      <c r="D17" s="27">
        <f>IFERROR(IF(SUMIFS(Datos_Volumen!$F:$F,Datos_Volumen!$A:$A,$A$4,Datos_Volumen!$B:$B,$E$4,Datos_Volumen!$C:$C,1)&gt;0,SUMIFS(Datos_Volumen!$F:$F,Datos_Volumen!$A:$A,$A$4,Datos_Volumen!$B:$B,$E$4,Datos_Volumen!$C:$C,1),SUMIFS(Datos_Volumen!$F:$F,Datos_Volumen!$A:$A,$A$4,Datos_Volumen!$B:$B,$E$4-1,Datos_Volumen!$C:$C,1)),0)</f>
        <v>22766</v>
      </c>
      <c r="E17" s="27">
        <f t="shared" ref="E17:E28" si="1">D17*(1+$C$4)</f>
        <v>25042.600000000002</v>
      </c>
      <c r="F17" s="28">
        <f>IFERROR(SUMIFS(Datos_Dotacion!$I:$I,Datos_Dotacion!$A:$A,$A$4,Datos_Dotacion!$B:$B,$E$4,Datos_Dotacion!$C:$C,1),0)</f>
        <v>18</v>
      </c>
      <c r="G17" s="29">
        <f>FLOOR(F17*(1-(IFERROR(SUMIFS(Datos_Dotacion!$J:$J,Datos_Dotacion!$A:$A,$A$4,Datos_Dotacion!$B:$B,$E$4,Datos_Dotacion!$C:$C,1),0))),1)</f>
        <v>17</v>
      </c>
      <c r="H17" s="30">
        <f>IF($A$4="Casa Central",Tablas_Operativas!B22,Tablas_Operativas!F22)</f>
        <v>2</v>
      </c>
      <c r="I17" s="30">
        <f ca="1">IFERROR(ROUNDUP((E17/T17/Parametros!$B$7)/Parametros!$B$14,0),0)</f>
        <v>4</v>
      </c>
      <c r="J17" s="99">
        <f ca="1">IFERROR(ROUNDUP(((IF((IFERROR(SUMIFS(Datos_Vacios!$G:$G,Datos_Vacios!$A:$A,$A$4,Datos_Vacios!$B:$B,$E$4,Datos_Vacios!$C:$C,1,Datos_Vacios!$F:$F,"Sí"),0))&gt;0,(IFERROR(SUMIFS(Datos_Vacios!$G:$G,Datos_Vacios!$A:$A,$A$4,Datos_Vacios!$B:$B,$E$4,Datos_Vacios!$C:$C,1,Datos_Vacios!$F:$F,"Sí"),0)),(IFERROR(SUMIFS(Datos_Vacios!$G:$G,Datos_Vacios!$A:$A,$A$4,Datos_Vacios!$B:$B,$E$4-1,Datos_Vacios!$C:$C,1,Datos_Vacios!$F:$F,"Sí"),0))))*(1+$C$4)/T17/Parametros!$B$8)/Parametros!$B$14,0),0)</f>
        <v>1</v>
      </c>
      <c r="K17" s="29">
        <f t="shared" ref="K17:K28" ca="1" si="2">MAX(G17-H17-I17-J17,0)</f>
        <v>10</v>
      </c>
      <c r="L17" s="31">
        <f ca="1">IFERROR(ROUNDUP((C17*(IF($A$4="Casa Central",Tablas_Operativas!B6,Tablas_Operativas!F6))/T17/Parametros!$B$6)/Parametros!$B$16,0),0)</f>
        <v>5</v>
      </c>
      <c r="M17" s="32">
        <f t="shared" ref="M17:M28" ca="1" si="3">K17-L17</f>
        <v>5</v>
      </c>
      <c r="N17" s="33">
        <f t="shared" ref="N17:N28" ca="1" si="4">I17</f>
        <v>4</v>
      </c>
      <c r="O17" s="33">
        <f>IFERROR(SUMIFS(Datos_Dotacion!$K:$K,Datos_Dotacion!$A:$A,$A$4,Datos_Dotacion!$B:$B,$E$4,Datos_Dotacion!$C:$C,1)+SUMIFS(Datos_Dotacion!$L:$L,Datos_Dotacion!$A:$A,$A$4,Datos_Dotacion!$B:$B,$E$4,Datos_Dotacion!$C:$C,1),0)</f>
        <v>4</v>
      </c>
      <c r="P17" s="34">
        <f t="shared" ref="P17:P28" ca="1" si="5">O17-N17</f>
        <v>0</v>
      </c>
      <c r="Q17" s="35">
        <f ca="1">IFERROR(E17/T17/Parametros!$B$7,0)</f>
        <v>21.079629629629633</v>
      </c>
      <c r="R17" s="35">
        <f ca="1">IFERROR((IF((IFERROR(SUMIFS(Datos_Vacios!$G:$G,Datos_Vacios!$A:$A,$A$4,Datos_Vacios!$B:$B,$E$4,Datos_Vacios!$C:$C,1,Datos_Vacios!$F:$F,"Sí"),0))&gt;0,(IFERROR(SUMIFS(Datos_Vacios!$G:$G,Datos_Vacios!$A:$A,$A$4,Datos_Vacios!$B:$B,$E$4,Datos_Vacios!$C:$C,1,Datos_Vacios!$F:$F,"Sí"),0)),(IFERROR(SUMIFS(Datos_Vacios!$G:$G,Datos_Vacios!$A:$A,$A$4,Datos_Vacios!$B:$B,$E$4-1,Datos_Vacios!$C:$C,1,Datos_Vacios!$F:$F,"Sí"),0))))*(1+$C$4)/T17/Parametros!$B$8,0)</f>
        <v>6.147325102880659</v>
      </c>
      <c r="S17" s="35">
        <f ca="1">IFERROR(C17*(IF($A$4="Casa Central",Tablas_Operativas!B6,Tablas_Operativas!F6))/T17/Parametros!$B$6,0)</f>
        <v>24.983703703703704</v>
      </c>
      <c r="T17" s="36">
        <f ca="1">DAY(EOMONTH(DATE($E$4,1,1),0))-SUMPRODUCT((WEEKDAY(DATE($E$4,1,ROW(INDIRECT("1:"&amp;DAY(EOMONTH(DATE($E$4,1,1),0))))),2)=7)*1)</f>
        <v>27</v>
      </c>
      <c r="U17" s="37">
        <f ca="1">IFERROR((I17*Parametros!$B$14 + J17*Parametros!$B$14 + L17*Parametros!$B$16)/(G17*Parametros!$B$14),0)</f>
        <v>0.50420168067226889</v>
      </c>
      <c r="V17" s="38" t="str">
        <f ca="1">IF(M17&lt;-2,"🔴 CRÍTICO — Contratar "&amp;ABS(M17)&amp;" pickers urgente",IF(M17&lt;0,"🟠 FALTAN "&amp;ABS(M17)&amp;" picker(s) — horas extra o temp.",IF(P17&lt;0,"🟡 FALTAN "&amp;ABS(P17)&amp;" auto(s) — evaluar alquiler",IF(U17&gt;Parametros!$B$13,"🔴 SOBRECARGA "&amp;TEXT(U17,"0%"),IF(U17&gt;Parametros!$B$12,"🟡 RIESGO "&amp;TEXT(U17,"0%"),IF(M17&gt;3,"🟢 OK — evaluar reducir "&amp;(M17-2)&amp;" temp.","🟢 OK"))))))</f>
        <v>🟢 OK — evaluar reducir 3 temp.</v>
      </c>
    </row>
    <row r="18" spans="1:22" x14ac:dyDescent="0.2">
      <c r="A18" s="39" t="s">
        <v>54</v>
      </c>
      <c r="B18" s="40">
        <f>IFERROR(IF(SUMIFS(Datos_Volumen!$E:$E,Datos_Volumen!$A:$A,$A$4,Datos_Volumen!$B:$B,$E$4,Datos_Volumen!$C:$C,2)&gt;0,SUMIFS(Datos_Volumen!$E:$E,Datos_Volumen!$A:$A,$A$4,Datos_Volumen!$B:$B,$E$4,Datos_Volumen!$C:$C,2),SUMIFS(Datos_Volumen!$E:$E,Datos_Volumen!$A:$A,$A$4,Datos_Volumen!$B:$B,$E$4-1,Datos_Volumen!$C:$C,2)),0)</f>
        <v>177249</v>
      </c>
      <c r="C18" s="40">
        <f t="shared" si="0"/>
        <v>194973.90000000002</v>
      </c>
      <c r="D18" s="40">
        <f>IFERROR(IF(SUMIFS(Datos_Volumen!$F:$F,Datos_Volumen!$A:$A,$A$4,Datos_Volumen!$B:$B,$E$4,Datos_Volumen!$C:$C,2)&gt;0,SUMIFS(Datos_Volumen!$F:$F,Datos_Volumen!$A:$A,$A$4,Datos_Volumen!$B:$B,$E$4,Datos_Volumen!$C:$C,2),SUMIFS(Datos_Volumen!$F:$F,Datos_Volumen!$A:$A,$A$4,Datos_Volumen!$B:$B,$E$4-1,Datos_Volumen!$C:$C,2)),0)</f>
        <v>15895</v>
      </c>
      <c r="E18" s="40">
        <f t="shared" si="1"/>
        <v>17484.5</v>
      </c>
      <c r="F18" s="41">
        <f>IFERROR(SUMIFS(Datos_Dotacion!$I:$I,Datos_Dotacion!$A:$A,$A$4,Datos_Dotacion!$B:$B,$E$4,Datos_Dotacion!$C:$C,2),0)</f>
        <v>18</v>
      </c>
      <c r="G18" s="42">
        <f>FLOOR(F18*(1-(IFERROR(SUMIFS(Datos_Dotacion!$J:$J,Datos_Dotacion!$A:$A,$A$4,Datos_Dotacion!$B:$B,$E$4,Datos_Dotacion!$C:$C,2),0))),1)</f>
        <v>17</v>
      </c>
      <c r="H18" s="43">
        <f>IF($A$4="Casa Central",Tablas_Operativas!B23,Tablas_Operativas!F23)</f>
        <v>2</v>
      </c>
      <c r="I18" s="43">
        <f ca="1">IFERROR(ROUNDUP((E18/T18/Parametros!$B$7)/Parametros!$B$14,0),0)</f>
        <v>3</v>
      </c>
      <c r="J18" s="100">
        <f ca="1">IFERROR(ROUNDUP(((IF((IFERROR(SUMIFS(Datos_Vacios!$G:$G,Datos_Vacios!$A:$A,$A$4,Datos_Vacios!$B:$B,$E$4,Datos_Vacios!$C:$C,2,Datos_Vacios!$F:$F,"Sí"),0))&gt;0,(IFERROR(SUMIFS(Datos_Vacios!$G:$G,Datos_Vacios!$A:$A,$A$4,Datos_Vacios!$B:$B,$E$4,Datos_Vacios!$C:$C,2,Datos_Vacios!$F:$F,"Sí"),0)),(IFERROR(SUMIFS(Datos_Vacios!$G:$G,Datos_Vacios!$A:$A,$A$4,Datos_Vacios!$B:$B,$E$4-1,Datos_Vacios!$C:$C,2,Datos_Vacios!$F:$F,"Sí"),0))))*(1+$C$4)/T18/Parametros!$B$8)/Parametros!$B$14,0),0)</f>
        <v>1</v>
      </c>
      <c r="K18" s="42">
        <f t="shared" ca="1" si="2"/>
        <v>11</v>
      </c>
      <c r="L18" s="44">
        <f ca="1">IFERROR(ROUNDUP((C18*(IF($A$4="Casa Central",Tablas_Operativas!B7,Tablas_Operativas!F7))/T18/Parametros!$B$6)/Parametros!$B$16,0),0)</f>
        <v>4</v>
      </c>
      <c r="M18" s="45">
        <f t="shared" ca="1" si="3"/>
        <v>7</v>
      </c>
      <c r="N18" s="46">
        <f t="shared" ca="1" si="4"/>
        <v>3</v>
      </c>
      <c r="O18" s="46">
        <f>IFERROR(SUMIFS(Datos_Dotacion!$K:$K,Datos_Dotacion!$A:$A,$A$4,Datos_Dotacion!$B:$B,$E$4,Datos_Dotacion!$C:$C,2)+SUMIFS(Datos_Dotacion!$L:$L,Datos_Dotacion!$A:$A,$A$4,Datos_Dotacion!$B:$B,$E$4,Datos_Dotacion!$C:$C,2),0)</f>
        <v>4</v>
      </c>
      <c r="P18" s="47">
        <f t="shared" ca="1" si="5"/>
        <v>1</v>
      </c>
      <c r="Q18" s="48">
        <f ca="1">IFERROR(E18/T18/Parametros!$B$7,0)</f>
        <v>16.557291666666668</v>
      </c>
      <c r="R18" s="48">
        <f ca="1">IFERROR((IF((IFERROR(SUMIFS(Datos_Vacios!$G:$G,Datos_Vacios!$A:$A,$A$4,Datos_Vacios!$B:$B,$E$4,Datos_Vacios!$C:$C,2,Datos_Vacios!$F:$F,"Sí"),0))&gt;0,(IFERROR(SUMIFS(Datos_Vacios!$G:$G,Datos_Vacios!$A:$A,$A$4,Datos_Vacios!$B:$B,$E$4,Datos_Vacios!$C:$C,2,Datos_Vacios!$F:$F,"Sí"),0)),(IFERROR(SUMIFS(Datos_Vacios!$G:$G,Datos_Vacios!$A:$A,$A$4,Datos_Vacios!$B:$B,$E$4-1,Datos_Vacios!$C:$C,2,Datos_Vacios!$F:$F,"Sí"),0))))*(1+$C$4)/T18/Parametros!$B$8,0)</f>
        <v>4.9703703703703717</v>
      </c>
      <c r="S18" s="48">
        <f ca="1">IFERROR(C18*(IF($A$4="Casa Central",Tablas_Operativas!B7,Tablas_Operativas!F7))/T18/Parametros!$B$6,0)</f>
        <v>19.694333333333336</v>
      </c>
      <c r="T18" s="49">
        <f ca="1">DAY(EOMONTH(DATE($E$4,2,1),0))-SUMPRODUCT((WEEKDAY(DATE($E$4,2,ROW(INDIRECT("1:"&amp;DAY(EOMONTH(DATE($E$4,2,1),0))))),2)=7)*1)</f>
        <v>24</v>
      </c>
      <c r="U18" s="50">
        <f ca="1">IFERROR((I18*Parametros!$B$14 + J18*Parametros!$B$14 + L18*Parametros!$B$16)/(G18*Parametros!$B$14),0)</f>
        <v>0.40336134453781514</v>
      </c>
      <c r="V18" s="51" t="str">
        <f ca="1">IF(M18&lt;-2,"🔴 CRÍTICO — Contratar "&amp;ABS(M18)&amp;" pickers urgente",IF(M18&lt;0,"🟠 FALTAN "&amp;ABS(M18)&amp;" picker(s) — horas extra o temp.",IF(P18&lt;0,"🟡 FALTAN "&amp;ABS(P18)&amp;" auto(s) — evaluar alquiler",IF(U18&gt;Parametros!$B$13,"🔴 SOBRECARGA "&amp;TEXT(U18,"0%"),IF(U18&gt;Parametros!$B$12,"🟡 RIESGO "&amp;TEXT(U18,"0%"),IF(M18&gt;3,"🟢 OK — evaluar reducir "&amp;(M18-2)&amp;" temp.","🟢 OK"))))))</f>
        <v>🟢 OK — evaluar reducir 5 temp.</v>
      </c>
    </row>
    <row r="19" spans="1:22" x14ac:dyDescent="0.2">
      <c r="A19" s="26" t="s">
        <v>55</v>
      </c>
      <c r="B19" s="27">
        <f>IFERROR(IF(SUMIFS(Datos_Volumen!$E:$E,Datos_Volumen!$A:$A,$A$4,Datos_Volumen!$B:$B,$E$4,Datos_Volumen!$C:$C,3)&gt;0,SUMIFS(Datos_Volumen!$E:$E,Datos_Volumen!$A:$A,$A$4,Datos_Volumen!$B:$B,$E$4,Datos_Volumen!$C:$C,3),SUMIFS(Datos_Volumen!$E:$E,Datos_Volumen!$A:$A,$A$4,Datos_Volumen!$B:$B,$E$4-1,Datos_Volumen!$C:$C,3)),0)</f>
        <v>54213</v>
      </c>
      <c r="C19" s="27">
        <f t="shared" si="0"/>
        <v>59634.3</v>
      </c>
      <c r="D19" s="27">
        <f>IFERROR(IF(SUMIFS(Datos_Volumen!$F:$F,Datos_Volumen!$A:$A,$A$4,Datos_Volumen!$B:$B,$E$4,Datos_Volumen!$C:$C,3)&gt;0,SUMIFS(Datos_Volumen!$F:$F,Datos_Volumen!$A:$A,$A$4,Datos_Volumen!$B:$B,$E$4,Datos_Volumen!$C:$C,3),SUMIFS(Datos_Volumen!$F:$F,Datos_Volumen!$A:$A,$A$4,Datos_Volumen!$B:$B,$E$4-1,Datos_Volumen!$C:$C,3)),0)</f>
        <v>5113</v>
      </c>
      <c r="E19" s="27">
        <f t="shared" si="1"/>
        <v>5624.3</v>
      </c>
      <c r="F19" s="28">
        <f>IFERROR(SUMIFS(Datos_Dotacion!$I:$I,Datos_Dotacion!$A:$A,$A$4,Datos_Dotacion!$B:$B,$E$4,Datos_Dotacion!$C:$C,3),0)</f>
        <v>10</v>
      </c>
      <c r="G19" s="29">
        <f>FLOOR(F19*(1-(IFERROR(SUMIFS(Datos_Dotacion!$J:$J,Datos_Dotacion!$A:$A,$A$4,Datos_Dotacion!$B:$B,$E$4,Datos_Dotacion!$C:$C,3),0))),1)</f>
        <v>9</v>
      </c>
      <c r="H19" s="30">
        <f>IF($A$4="Casa Central",Tablas_Operativas!B24,Tablas_Operativas!F24)</f>
        <v>1</v>
      </c>
      <c r="I19" s="30">
        <f ca="1">IFERROR(ROUNDUP((E19/T19/Parametros!$B$7)/Parametros!$B$14,0),0)</f>
        <v>1</v>
      </c>
      <c r="J19" s="99">
        <f ca="1">IFERROR(ROUNDUP(((IF((IFERROR(SUMIFS(Datos_Vacios!$G:$G,Datos_Vacios!$A:$A,$A$4,Datos_Vacios!$B:$B,$E$4,Datos_Vacios!$C:$C,3,Datos_Vacios!$F:$F,"Sí"),0))&gt;0,(IFERROR(SUMIFS(Datos_Vacios!$G:$G,Datos_Vacios!$A:$A,$A$4,Datos_Vacios!$B:$B,$E$4,Datos_Vacios!$C:$C,3,Datos_Vacios!$F:$F,"Sí"),0)),(IFERROR(SUMIFS(Datos_Vacios!$G:$G,Datos_Vacios!$A:$A,$A$4,Datos_Vacios!$B:$B,$E$4-1,Datos_Vacios!$C:$C,3,Datos_Vacios!$F:$F,"Sí"),0))))*(1+$C$4)/T19/Parametros!$B$8)/Parametros!$B$14,0),0)</f>
        <v>1</v>
      </c>
      <c r="K19" s="29">
        <f t="shared" ca="1" si="2"/>
        <v>6</v>
      </c>
      <c r="L19" s="31">
        <f ca="1">IFERROR(ROUNDUP((C19*(IF($A$4="Casa Central",Tablas_Operativas!B8,Tablas_Operativas!F8))/T19/Parametros!$B$6)/Parametros!$B$16,0),0)</f>
        <v>2</v>
      </c>
      <c r="M19" s="32">
        <f t="shared" ca="1" si="3"/>
        <v>4</v>
      </c>
      <c r="N19" s="33">
        <f t="shared" ca="1" si="4"/>
        <v>1</v>
      </c>
      <c r="O19" s="33">
        <f>IFERROR(SUMIFS(Datos_Dotacion!$K:$K,Datos_Dotacion!$A:$A,$A$4,Datos_Dotacion!$B:$B,$E$4,Datos_Dotacion!$C:$C,3)+SUMIFS(Datos_Dotacion!$L:$L,Datos_Dotacion!$A:$A,$A$4,Datos_Dotacion!$B:$B,$E$4,Datos_Dotacion!$C:$C,3),0)</f>
        <v>2</v>
      </c>
      <c r="P19" s="34">
        <f t="shared" ca="1" si="5"/>
        <v>1</v>
      </c>
      <c r="Q19" s="35">
        <f ca="1">IFERROR(E19/T19/Parametros!$B$7,0)</f>
        <v>4.9163461538461544</v>
      </c>
      <c r="R19" s="35">
        <f ca="1">IFERROR((IF((IFERROR(SUMIFS(Datos_Vacios!$G:$G,Datos_Vacios!$A:$A,$A$4,Datos_Vacios!$B:$B,$E$4,Datos_Vacios!$C:$C,3,Datos_Vacios!$F:$F,"Sí"),0))&gt;0,(IFERROR(SUMIFS(Datos_Vacios!$G:$G,Datos_Vacios!$A:$A,$A$4,Datos_Vacios!$B:$B,$E$4,Datos_Vacios!$C:$C,3,Datos_Vacios!$F:$F,"Sí"),0)),(IFERROR(SUMIFS(Datos_Vacios!$G:$G,Datos_Vacios!$A:$A,$A$4,Datos_Vacios!$B:$B,$E$4-1,Datos_Vacios!$C:$C,3,Datos_Vacios!$F:$F,"Sí"),0))))*(1+$C$4)/T19/Parametros!$B$8,0)</f>
        <v>1.9179487179487178</v>
      </c>
      <c r="S19" s="35">
        <f ca="1">IFERROR(C19*(IF($A$4="Casa Central",Tablas_Operativas!B8,Tablas_Operativas!F8))/T19/Parametros!$B$6,0)</f>
        <v>5.5603076923076928</v>
      </c>
      <c r="T19" s="36">
        <f ca="1">DAY(EOMONTH(DATE($E$4,3,1),0))-SUMPRODUCT((WEEKDAY(DATE($E$4,3,ROW(INDIRECT("1:"&amp;DAY(EOMONTH(DATE($E$4,3,1),0))))),2)=7)*1)</f>
        <v>26</v>
      </c>
      <c r="U19" s="37">
        <f ca="1">IFERROR((I19*Parametros!$B$14 + J19*Parametros!$B$14 + L19*Parametros!$B$16)/(G19*Parametros!$B$14),0)</f>
        <v>0.38095238095238093</v>
      </c>
      <c r="V19" s="38" t="str">
        <f ca="1">IF(M19&lt;-2,"🔴 CRÍTICO — Contratar "&amp;ABS(M19)&amp;" pickers urgente",IF(M19&lt;0,"🟠 FALTAN "&amp;ABS(M19)&amp;" picker(s) — horas extra o temp.",IF(P19&lt;0,"🟡 FALTAN "&amp;ABS(P19)&amp;" auto(s) — evaluar alquiler",IF(U19&gt;Parametros!$B$13,"🔴 SOBRECARGA "&amp;TEXT(U19,"0%"),IF(U19&gt;Parametros!$B$12,"🟡 RIESGO "&amp;TEXT(U19,"0%"),IF(M19&gt;3,"🟢 OK — evaluar reducir "&amp;(M19-2)&amp;" temp.","🟢 OK"))))))</f>
        <v>🟢 OK — evaluar reducir 2 temp.</v>
      </c>
    </row>
    <row r="20" spans="1:22" x14ac:dyDescent="0.2">
      <c r="A20" s="39" t="s">
        <v>56</v>
      </c>
      <c r="B20" s="40">
        <f>IFERROR(IF(SUMIFS(Datos_Volumen!$E:$E,Datos_Volumen!$A:$A,$A$4,Datos_Volumen!$B:$B,$E$4,Datos_Volumen!$C:$C,4)&gt;0,SUMIFS(Datos_Volumen!$E:$E,Datos_Volumen!$A:$A,$A$4,Datos_Volumen!$B:$B,$E$4,Datos_Volumen!$C:$C,4),SUMIFS(Datos_Volumen!$E:$E,Datos_Volumen!$A:$A,$A$4,Datos_Volumen!$B:$B,$E$4-1,Datos_Volumen!$C:$C,4)),0)</f>
        <v>30159</v>
      </c>
      <c r="C20" s="40">
        <f t="shared" si="0"/>
        <v>33174.9</v>
      </c>
      <c r="D20" s="40">
        <f>IFERROR(IF(SUMIFS(Datos_Volumen!$F:$F,Datos_Volumen!$A:$A,$A$4,Datos_Volumen!$B:$B,$E$4,Datos_Volumen!$C:$C,4)&gt;0,SUMIFS(Datos_Volumen!$F:$F,Datos_Volumen!$A:$A,$A$4,Datos_Volumen!$B:$B,$E$4,Datos_Volumen!$C:$C,4),SUMIFS(Datos_Volumen!$F:$F,Datos_Volumen!$A:$A,$A$4,Datos_Volumen!$B:$B,$E$4-1,Datos_Volumen!$C:$C,4)),0)</f>
        <v>2922</v>
      </c>
      <c r="E20" s="40">
        <f t="shared" si="1"/>
        <v>3214.2000000000003</v>
      </c>
      <c r="F20" s="41">
        <f>IFERROR(SUMIFS(Datos_Dotacion!$I:$I,Datos_Dotacion!$A:$A,$A$4,Datos_Dotacion!$B:$B,$E$4,Datos_Dotacion!$C:$C,4),0)</f>
        <v>6</v>
      </c>
      <c r="G20" s="42">
        <f>FLOOR(F20*(1-(IFERROR(SUMIFS(Datos_Dotacion!$J:$J,Datos_Dotacion!$A:$A,$A$4,Datos_Dotacion!$B:$B,$E$4,Datos_Dotacion!$C:$C,4),0))),1)</f>
        <v>5</v>
      </c>
      <c r="H20" s="43">
        <f>IF($A$4="Casa Central",Tablas_Operativas!B25,Tablas_Operativas!F25)</f>
        <v>1</v>
      </c>
      <c r="I20" s="43">
        <f ca="1">IFERROR(ROUNDUP((E20/T20/Parametros!$B$7)/Parametros!$B$14,0),0)</f>
        <v>1</v>
      </c>
      <c r="J20" s="100">
        <f ca="1">IFERROR(ROUNDUP(((IF((IFERROR(SUMIFS(Datos_Vacios!$G:$G,Datos_Vacios!$A:$A,$A$4,Datos_Vacios!$B:$B,$E$4,Datos_Vacios!$C:$C,4,Datos_Vacios!$F:$F,"Sí"),0))&gt;0,(IFERROR(SUMIFS(Datos_Vacios!$G:$G,Datos_Vacios!$A:$A,$A$4,Datos_Vacios!$B:$B,$E$4,Datos_Vacios!$C:$C,4,Datos_Vacios!$F:$F,"Sí"),0)),(IFERROR(SUMIFS(Datos_Vacios!$G:$G,Datos_Vacios!$A:$A,$A$4,Datos_Vacios!$B:$B,$E$4-1,Datos_Vacios!$C:$C,4,Datos_Vacios!$F:$F,"Sí"),0))))*(1+$C$4)/T20/Parametros!$B$8)/Parametros!$B$14,0),0)</f>
        <v>1</v>
      </c>
      <c r="K20" s="42">
        <f t="shared" ca="1" si="2"/>
        <v>2</v>
      </c>
      <c r="L20" s="44">
        <f ca="1">IFERROR(ROUNDUP((C20*(IF($A$4="Casa Central",Tablas_Operativas!B9,Tablas_Operativas!F9))/T20/Parametros!$B$6)/Parametros!$B$16,0),0)</f>
        <v>1</v>
      </c>
      <c r="M20" s="45">
        <f t="shared" ca="1" si="3"/>
        <v>1</v>
      </c>
      <c r="N20" s="46">
        <f t="shared" ca="1" si="4"/>
        <v>1</v>
      </c>
      <c r="O20" s="46">
        <f>IFERROR(SUMIFS(Datos_Dotacion!$K:$K,Datos_Dotacion!$A:$A,$A$4,Datos_Dotacion!$B:$B,$E$4,Datos_Dotacion!$C:$C,4)+SUMIFS(Datos_Dotacion!$L:$L,Datos_Dotacion!$A:$A,$A$4,Datos_Dotacion!$B:$B,$E$4,Datos_Dotacion!$C:$C,4),0)</f>
        <v>2</v>
      </c>
      <c r="P20" s="47">
        <f t="shared" ca="1" si="5"/>
        <v>1</v>
      </c>
      <c r="Q20" s="48">
        <f ca="1">IFERROR(E20/T20/Parametros!$B$7,0)</f>
        <v>2.8096153846153848</v>
      </c>
      <c r="R20" s="48">
        <f ca="1">IFERROR((IF((IFERROR(SUMIFS(Datos_Vacios!$G:$G,Datos_Vacios!$A:$A,$A$4,Datos_Vacios!$B:$B,$E$4,Datos_Vacios!$C:$C,4,Datos_Vacios!$F:$F,"Sí"),0))&gt;0,(IFERROR(SUMIFS(Datos_Vacios!$G:$G,Datos_Vacios!$A:$A,$A$4,Datos_Vacios!$B:$B,$E$4,Datos_Vacios!$C:$C,4,Datos_Vacios!$F:$F,"Sí"),0)),(IFERROR(SUMIFS(Datos_Vacios!$G:$G,Datos_Vacios!$A:$A,$A$4,Datos_Vacios!$B:$B,$E$4-1,Datos_Vacios!$C:$C,4,Datos_Vacios!$F:$F,"Sí"),0))))*(1+$C$4)/T20/Parametros!$B$8,0)</f>
        <v>1.2504273504273504</v>
      </c>
      <c r="S20" s="48">
        <f ca="1">IFERROR(C20*(IF($A$4="Casa Central",Tablas_Operativas!B9,Tablas_Operativas!F9))/T20/Parametros!$B$6,0)</f>
        <v>3.0932307692307695</v>
      </c>
      <c r="T20" s="49">
        <f ca="1">DAY(EOMONTH(DATE($E$4,4,1),0))-SUMPRODUCT((WEEKDAY(DATE($E$4,4,ROW(INDIRECT("1:"&amp;DAY(EOMONTH(DATE($E$4,4,1),0))))),2)=7)*1)</f>
        <v>26</v>
      </c>
      <c r="U20" s="50">
        <f ca="1">IFERROR((I20*Parametros!$B$14 + J20*Parametros!$B$14 + L20*Parametros!$B$16)/(G20*Parametros!$B$14),0)</f>
        <v>0.54285714285714282</v>
      </c>
      <c r="V20" s="51" t="str">
        <f ca="1">IF(M20&lt;-2,"🔴 CRÍTICO — Contratar "&amp;ABS(M20)&amp;" pickers urgente",IF(M20&lt;0,"🟠 FALTAN "&amp;ABS(M20)&amp;" picker(s) — horas extra o temp.",IF(P20&lt;0,"🟡 FALTAN "&amp;ABS(P20)&amp;" auto(s) — evaluar alquiler",IF(U20&gt;Parametros!$B$13,"🔴 SOBRECARGA "&amp;TEXT(U20,"0%"),IF(U20&gt;Parametros!$B$12,"🟡 RIESGO "&amp;TEXT(U20,"0%"),IF(M20&gt;3,"🟢 OK — evaluar reducir "&amp;(M20-2)&amp;" temp.","🟢 OK"))))))</f>
        <v>🟢 OK</v>
      </c>
    </row>
    <row r="21" spans="1:22" x14ac:dyDescent="0.2">
      <c r="A21" s="26" t="s">
        <v>57</v>
      </c>
      <c r="B21" s="27">
        <f>IFERROR(IF(SUMIFS(Datos_Volumen!$E:$E,Datos_Volumen!$A:$A,$A$4,Datos_Volumen!$B:$B,$E$4,Datos_Volumen!$C:$C,5)&gt;0,SUMIFS(Datos_Volumen!$E:$E,Datos_Volumen!$A:$A,$A$4,Datos_Volumen!$B:$B,$E$4,Datos_Volumen!$C:$C,5),SUMIFS(Datos_Volumen!$E:$E,Datos_Volumen!$A:$A,$A$4,Datos_Volumen!$B:$B,$E$4-1,Datos_Volumen!$C:$C,5)),0)</f>
        <v>23491</v>
      </c>
      <c r="C21" s="27">
        <f t="shared" si="0"/>
        <v>25840.100000000002</v>
      </c>
      <c r="D21" s="27">
        <f>IFERROR(IF(SUMIFS(Datos_Volumen!$F:$F,Datos_Volumen!$A:$A,$A$4,Datos_Volumen!$B:$B,$E$4,Datos_Volumen!$C:$C,5)&gt;0,SUMIFS(Datos_Volumen!$F:$F,Datos_Volumen!$A:$A,$A$4,Datos_Volumen!$B:$B,$E$4,Datos_Volumen!$C:$C,5),SUMIFS(Datos_Volumen!$F:$F,Datos_Volumen!$A:$A,$A$4,Datos_Volumen!$B:$B,$E$4-1,Datos_Volumen!$C:$C,5)),0)</f>
        <v>2359</v>
      </c>
      <c r="E21" s="27">
        <f t="shared" si="1"/>
        <v>2594.9</v>
      </c>
      <c r="F21" s="28">
        <f>IFERROR(SUMIFS(Datos_Dotacion!$I:$I,Datos_Dotacion!$A:$A,$A$4,Datos_Dotacion!$B:$B,$E$4,Datos_Dotacion!$C:$C,5),0)</f>
        <v>6</v>
      </c>
      <c r="G21" s="29">
        <f>FLOOR(F21*(1-(IFERROR(SUMIFS(Datos_Dotacion!$J:$J,Datos_Dotacion!$A:$A,$A$4,Datos_Dotacion!$B:$B,$E$4,Datos_Dotacion!$C:$C,5),0))),1)</f>
        <v>5</v>
      </c>
      <c r="H21" s="30">
        <f>IF($A$4="Casa Central",Tablas_Operativas!B26,Tablas_Operativas!F26)</f>
        <v>1</v>
      </c>
      <c r="I21" s="30">
        <f ca="1">IFERROR(ROUNDUP((E21/T21/Parametros!$B$7)/Parametros!$B$14,0),0)</f>
        <v>1</v>
      </c>
      <c r="J21" s="99">
        <f ca="1">IFERROR(ROUNDUP(((IF((IFERROR(SUMIFS(Datos_Vacios!$G:$G,Datos_Vacios!$A:$A,$A$4,Datos_Vacios!$B:$B,$E$4,Datos_Vacios!$C:$C,5,Datos_Vacios!$F:$F,"Sí"),0))&gt;0,(IFERROR(SUMIFS(Datos_Vacios!$G:$G,Datos_Vacios!$A:$A,$A$4,Datos_Vacios!$B:$B,$E$4,Datos_Vacios!$C:$C,5,Datos_Vacios!$F:$F,"Sí"),0)),(IFERROR(SUMIFS(Datos_Vacios!$G:$G,Datos_Vacios!$A:$A,$A$4,Datos_Vacios!$B:$B,$E$4-1,Datos_Vacios!$C:$C,5,Datos_Vacios!$F:$F,"Sí"),0))))*(1+$C$4)/T21/Parametros!$B$8)/Parametros!$B$14,0),0)</f>
        <v>1</v>
      </c>
      <c r="K21" s="29">
        <f t="shared" ca="1" si="2"/>
        <v>2</v>
      </c>
      <c r="L21" s="31">
        <f ca="1">IFERROR(ROUNDUP((C21*(IF($A$4="Casa Central",Tablas_Operativas!B10,Tablas_Operativas!F10))/T21/Parametros!$B$6)/Parametros!$B$16,0),0)</f>
        <v>1</v>
      </c>
      <c r="M21" s="32">
        <f t="shared" ca="1" si="3"/>
        <v>1</v>
      </c>
      <c r="N21" s="33">
        <f t="shared" ca="1" si="4"/>
        <v>1</v>
      </c>
      <c r="O21" s="33">
        <f>IFERROR(SUMIFS(Datos_Dotacion!$K:$K,Datos_Dotacion!$A:$A,$A$4,Datos_Dotacion!$B:$B,$E$4,Datos_Dotacion!$C:$C,5)+SUMIFS(Datos_Dotacion!$L:$L,Datos_Dotacion!$A:$A,$A$4,Datos_Dotacion!$B:$B,$E$4,Datos_Dotacion!$C:$C,5),0)</f>
        <v>2</v>
      </c>
      <c r="P21" s="34">
        <f t="shared" ca="1" si="5"/>
        <v>1</v>
      </c>
      <c r="Q21" s="35">
        <f ca="1">IFERROR(E21/T21/Parametros!$B$7,0)</f>
        <v>2.2682692307692309</v>
      </c>
      <c r="R21" s="35">
        <f ca="1">IFERROR((IF((IFERROR(SUMIFS(Datos_Vacios!$G:$G,Datos_Vacios!$A:$A,$A$4,Datos_Vacios!$B:$B,$E$4,Datos_Vacios!$C:$C,5,Datos_Vacios!$F:$F,"Sí"),0))&gt;0,(IFERROR(SUMIFS(Datos_Vacios!$G:$G,Datos_Vacios!$A:$A,$A$4,Datos_Vacios!$B:$B,$E$4,Datos_Vacios!$C:$C,5,Datos_Vacios!$F:$F,"Sí"),0)),(IFERROR(SUMIFS(Datos_Vacios!$G:$G,Datos_Vacios!$A:$A,$A$4,Datos_Vacios!$B:$B,$E$4-1,Datos_Vacios!$C:$C,5,Datos_Vacios!$F:$F,"Sí"),0))))*(1+$C$4)/T21/Parametros!$B$8,0)</f>
        <v>0.94017094017094038</v>
      </c>
      <c r="S21" s="35">
        <f ca="1">IFERROR(C21*(IF($A$4="Casa Central",Tablas_Operativas!B10,Tablas_Operativas!F10))/T21/Parametros!$B$6,0)</f>
        <v>2.4093333333333335</v>
      </c>
      <c r="T21" s="36">
        <f ca="1">DAY(EOMONTH(DATE($E$4,5,1),0))-SUMPRODUCT((WEEKDAY(DATE($E$4,5,ROW(INDIRECT("1:"&amp;DAY(EOMONTH(DATE($E$4,5,1),0))))),2)=7)*1)</f>
        <v>26</v>
      </c>
      <c r="U21" s="37">
        <f ca="1">IFERROR((I21*Parametros!$B$14 + J21*Parametros!$B$14 + L21*Parametros!$B$16)/(G21*Parametros!$B$14),0)</f>
        <v>0.54285714285714282</v>
      </c>
      <c r="V21" s="38" t="str">
        <f ca="1">IF(M21&lt;-2,"🔴 CRÍTICO — Contratar "&amp;ABS(M21)&amp;" pickers urgente",IF(M21&lt;0,"🟠 FALTAN "&amp;ABS(M21)&amp;" picker(s) — horas extra o temp.",IF(P21&lt;0,"🟡 FALTAN "&amp;ABS(P21)&amp;" auto(s) — evaluar alquiler",IF(U21&gt;Parametros!$B$13,"🔴 SOBRECARGA "&amp;TEXT(U21,"0%"),IF(U21&gt;Parametros!$B$12,"🟡 RIESGO "&amp;TEXT(U21,"0%"),IF(M21&gt;3,"🟢 OK — evaluar reducir "&amp;(M21-2)&amp;" temp.","🟢 OK"))))))</f>
        <v>🟢 OK</v>
      </c>
    </row>
    <row r="22" spans="1:22" x14ac:dyDescent="0.2">
      <c r="A22" s="39" t="s">
        <v>58</v>
      </c>
      <c r="B22" s="40">
        <f>IFERROR(IF(SUMIFS(Datos_Volumen!$E:$E,Datos_Volumen!$A:$A,$A$4,Datos_Volumen!$B:$B,$E$4,Datos_Volumen!$C:$C,6)&gt;0,SUMIFS(Datos_Volumen!$E:$E,Datos_Volumen!$A:$A,$A$4,Datos_Volumen!$B:$B,$E$4,Datos_Volumen!$C:$C,6),SUMIFS(Datos_Volumen!$E:$E,Datos_Volumen!$A:$A,$A$4,Datos_Volumen!$B:$B,$E$4-1,Datos_Volumen!$C:$C,6)),0)</f>
        <v>30400</v>
      </c>
      <c r="C22" s="40">
        <f t="shared" si="0"/>
        <v>33440</v>
      </c>
      <c r="D22" s="40">
        <f>IFERROR(IF(SUMIFS(Datos_Volumen!$F:$F,Datos_Volumen!$A:$A,$A$4,Datos_Volumen!$B:$B,$E$4,Datos_Volumen!$C:$C,6)&gt;0,SUMIFS(Datos_Volumen!$F:$F,Datos_Volumen!$A:$A,$A$4,Datos_Volumen!$B:$B,$E$4,Datos_Volumen!$C:$C,6),SUMIFS(Datos_Volumen!$F:$F,Datos_Volumen!$A:$A,$A$4,Datos_Volumen!$B:$B,$E$4-1,Datos_Volumen!$C:$C,6)),0)</f>
        <v>2984</v>
      </c>
      <c r="E22" s="40">
        <f t="shared" si="1"/>
        <v>3282.4</v>
      </c>
      <c r="F22" s="41">
        <f>IFERROR(SUMIFS(Datos_Dotacion!$I:$I,Datos_Dotacion!$A:$A,$A$4,Datos_Dotacion!$B:$B,$E$4,Datos_Dotacion!$C:$C,6),0)</f>
        <v>6</v>
      </c>
      <c r="G22" s="42">
        <f>FLOOR(F22*(1-(IFERROR(SUMIFS(Datos_Dotacion!$J:$J,Datos_Dotacion!$A:$A,$A$4,Datos_Dotacion!$B:$B,$E$4,Datos_Dotacion!$C:$C,6),0))),1)</f>
        <v>5</v>
      </c>
      <c r="H22" s="43">
        <f>IF($A$4="Casa Central",Tablas_Operativas!B27,Tablas_Operativas!F27)</f>
        <v>1</v>
      </c>
      <c r="I22" s="43">
        <f ca="1">IFERROR(ROUNDUP((E22/T22/Parametros!$B$7)/Parametros!$B$14,0),0)</f>
        <v>1</v>
      </c>
      <c r="J22" s="100">
        <f ca="1">IFERROR(ROUNDUP(((IF((IFERROR(SUMIFS(Datos_Vacios!$G:$G,Datos_Vacios!$A:$A,$A$4,Datos_Vacios!$B:$B,$E$4,Datos_Vacios!$C:$C,6,Datos_Vacios!$F:$F,"Sí"),0))&gt;0,(IFERROR(SUMIFS(Datos_Vacios!$G:$G,Datos_Vacios!$A:$A,$A$4,Datos_Vacios!$B:$B,$E$4,Datos_Vacios!$C:$C,6,Datos_Vacios!$F:$F,"Sí"),0)),(IFERROR(SUMIFS(Datos_Vacios!$G:$G,Datos_Vacios!$A:$A,$A$4,Datos_Vacios!$B:$B,$E$4-1,Datos_Vacios!$C:$C,6,Datos_Vacios!$F:$F,"Sí"),0))))*(1+$C$4)/T22/Parametros!$B$8)/Parametros!$B$14,0),0)</f>
        <v>1</v>
      </c>
      <c r="K22" s="42">
        <f t="shared" ca="1" si="2"/>
        <v>2</v>
      </c>
      <c r="L22" s="44">
        <f ca="1">IFERROR(ROUNDUP((C22*(IF($A$4="Casa Central",Tablas_Operativas!B11,Tablas_Operativas!F11))/T22/Parametros!$B$6)/Parametros!$B$16,0),0)</f>
        <v>1</v>
      </c>
      <c r="M22" s="45">
        <f t="shared" ca="1" si="3"/>
        <v>1</v>
      </c>
      <c r="N22" s="46">
        <f t="shared" ca="1" si="4"/>
        <v>1</v>
      </c>
      <c r="O22" s="46">
        <f>IFERROR(SUMIFS(Datos_Dotacion!$K:$K,Datos_Dotacion!$A:$A,$A$4,Datos_Dotacion!$B:$B,$E$4,Datos_Dotacion!$C:$C,6)+SUMIFS(Datos_Dotacion!$L:$L,Datos_Dotacion!$A:$A,$A$4,Datos_Dotacion!$B:$B,$E$4,Datos_Dotacion!$C:$C,6),0)</f>
        <v>2</v>
      </c>
      <c r="P22" s="47">
        <f t="shared" ca="1" si="5"/>
        <v>1</v>
      </c>
      <c r="Q22" s="48">
        <f ca="1">IFERROR(E22/T22/Parametros!$B$7,0)</f>
        <v>2.8692307692307693</v>
      </c>
      <c r="R22" s="48">
        <f ca="1">IFERROR((IF((IFERROR(SUMIFS(Datos_Vacios!$G:$G,Datos_Vacios!$A:$A,$A$4,Datos_Vacios!$B:$B,$E$4,Datos_Vacios!$C:$C,6,Datos_Vacios!$F:$F,"Sí"),0))&gt;0,(IFERROR(SUMIFS(Datos_Vacios!$G:$G,Datos_Vacios!$A:$A,$A$4,Datos_Vacios!$B:$B,$E$4,Datos_Vacios!$C:$C,6,Datos_Vacios!$F:$F,"Sí"),0)),(IFERROR(SUMIFS(Datos_Vacios!$G:$G,Datos_Vacios!$A:$A,$A$4,Datos_Vacios!$B:$B,$E$4-1,Datos_Vacios!$C:$C,6,Datos_Vacios!$F:$F,"Sí"),0))))*(1+$C$4)/T22/Parametros!$B$8,0)</f>
        <v>0.90256410256410269</v>
      </c>
      <c r="S22" s="48">
        <f ca="1">IFERROR(C22*(IF($A$4="Casa Central",Tablas_Operativas!B11,Tablas_Operativas!F11))/T22/Parametros!$B$6,0)</f>
        <v>3.117948717948718</v>
      </c>
      <c r="T22" s="49">
        <f ca="1">DAY(EOMONTH(DATE($E$4,6,1),0))-SUMPRODUCT((WEEKDAY(DATE($E$4,6,ROW(INDIRECT("1:"&amp;DAY(EOMONTH(DATE($E$4,6,1),0))))),2)=7)*1)</f>
        <v>26</v>
      </c>
      <c r="U22" s="50">
        <f ca="1">IFERROR((I22*Parametros!$B$14 + J22*Parametros!$B$14 + L22*Parametros!$B$16)/(G22*Parametros!$B$14),0)</f>
        <v>0.54285714285714282</v>
      </c>
      <c r="V22" s="51" t="str">
        <f ca="1">IF(M22&lt;-2,"🔴 CRÍTICO — Contratar "&amp;ABS(M22)&amp;" pickers urgente",IF(M22&lt;0,"🟠 FALTAN "&amp;ABS(M22)&amp;" picker(s) — horas extra o temp.",IF(P22&lt;0,"🟡 FALTAN "&amp;ABS(P22)&amp;" auto(s) — evaluar alquiler",IF(U22&gt;Parametros!$B$13,"🔴 SOBRECARGA "&amp;TEXT(U22,"0%"),IF(U22&gt;Parametros!$B$12,"🟡 RIESGO "&amp;TEXT(U22,"0%"),IF(M22&gt;3,"🟢 OK — evaluar reducir "&amp;(M22-2)&amp;" temp.","🟢 OK"))))))</f>
        <v>🟢 OK</v>
      </c>
    </row>
    <row r="23" spans="1:22" x14ac:dyDescent="0.2">
      <c r="A23" s="26" t="s">
        <v>59</v>
      </c>
      <c r="B23" s="27">
        <f>IFERROR(IF(SUMIFS(Datos_Volumen!$E:$E,Datos_Volumen!$A:$A,$A$4,Datos_Volumen!$B:$B,$E$4,Datos_Volumen!$C:$C,7)&gt;0,SUMIFS(Datos_Volumen!$E:$E,Datos_Volumen!$A:$A,$A$4,Datos_Volumen!$B:$B,$E$4,Datos_Volumen!$C:$C,7),SUMIFS(Datos_Volumen!$E:$E,Datos_Volumen!$A:$A,$A$4,Datos_Volumen!$B:$B,$E$4-1,Datos_Volumen!$C:$C,7)),0)</f>
        <v>39209</v>
      </c>
      <c r="C23" s="27">
        <f t="shared" si="0"/>
        <v>43129.9</v>
      </c>
      <c r="D23" s="27">
        <f>IFERROR(IF(SUMIFS(Datos_Volumen!$F:$F,Datos_Volumen!$A:$A,$A$4,Datos_Volumen!$B:$B,$E$4,Datos_Volumen!$C:$C,7)&gt;0,SUMIFS(Datos_Volumen!$F:$F,Datos_Volumen!$A:$A,$A$4,Datos_Volumen!$B:$B,$E$4,Datos_Volumen!$C:$C,7),SUMIFS(Datos_Volumen!$F:$F,Datos_Volumen!$A:$A,$A$4,Datos_Volumen!$B:$B,$E$4-1,Datos_Volumen!$C:$C,7)),0)</f>
        <v>3858</v>
      </c>
      <c r="E23" s="27">
        <f t="shared" si="1"/>
        <v>4243.8</v>
      </c>
      <c r="F23" s="28">
        <f>IFERROR(SUMIFS(Datos_Dotacion!$I:$I,Datos_Dotacion!$A:$A,$A$4,Datos_Dotacion!$B:$B,$E$4,Datos_Dotacion!$C:$C,7),0)</f>
        <v>6</v>
      </c>
      <c r="G23" s="29">
        <f>FLOOR(F23*(1-(IFERROR(SUMIFS(Datos_Dotacion!$J:$J,Datos_Dotacion!$A:$A,$A$4,Datos_Dotacion!$B:$B,$E$4,Datos_Dotacion!$C:$C,7),0))),1)</f>
        <v>5</v>
      </c>
      <c r="H23" s="30">
        <f>IF($A$4="Casa Central",Tablas_Operativas!B28,Tablas_Operativas!F28)</f>
        <v>1</v>
      </c>
      <c r="I23" s="30">
        <f ca="1">IFERROR(ROUNDUP((E23/T23/Parametros!$B$7)/Parametros!$B$14,0),0)</f>
        <v>1</v>
      </c>
      <c r="J23" s="99">
        <f ca="1">IFERROR(ROUNDUP(((IF((IFERROR(SUMIFS(Datos_Vacios!$G:$G,Datos_Vacios!$A:$A,$A$4,Datos_Vacios!$B:$B,$E$4,Datos_Vacios!$C:$C,7,Datos_Vacios!$F:$F,"Sí"),0))&gt;0,(IFERROR(SUMIFS(Datos_Vacios!$G:$G,Datos_Vacios!$A:$A,$A$4,Datos_Vacios!$B:$B,$E$4,Datos_Vacios!$C:$C,7,Datos_Vacios!$F:$F,"Sí"),0)),(IFERROR(SUMIFS(Datos_Vacios!$G:$G,Datos_Vacios!$A:$A,$A$4,Datos_Vacios!$B:$B,$E$4-1,Datos_Vacios!$C:$C,7,Datos_Vacios!$F:$F,"Sí"),0))))*(1+$C$4)/T23/Parametros!$B$8)/Parametros!$B$14,0),0)</f>
        <v>1</v>
      </c>
      <c r="K23" s="29">
        <f t="shared" ca="1" si="2"/>
        <v>2</v>
      </c>
      <c r="L23" s="31">
        <f ca="1">IFERROR(ROUNDUP((C23*(IF($A$4="Casa Central",Tablas_Operativas!B12,Tablas_Operativas!F12))/T23/Parametros!$B$6)/Parametros!$B$16,0),0)</f>
        <v>1</v>
      </c>
      <c r="M23" s="32">
        <f t="shared" ca="1" si="3"/>
        <v>1</v>
      </c>
      <c r="N23" s="33">
        <f t="shared" ca="1" si="4"/>
        <v>1</v>
      </c>
      <c r="O23" s="33">
        <f>IFERROR(SUMIFS(Datos_Dotacion!$K:$K,Datos_Dotacion!$A:$A,$A$4,Datos_Dotacion!$B:$B,$E$4,Datos_Dotacion!$C:$C,7)+SUMIFS(Datos_Dotacion!$L:$L,Datos_Dotacion!$A:$A,$A$4,Datos_Dotacion!$B:$B,$E$4,Datos_Dotacion!$C:$C,7),0)</f>
        <v>2</v>
      </c>
      <c r="P23" s="34">
        <f t="shared" ca="1" si="5"/>
        <v>1</v>
      </c>
      <c r="Q23" s="35">
        <f ca="1">IFERROR(E23/T23/Parametros!$B$7,0)</f>
        <v>3.5722222222222224</v>
      </c>
      <c r="R23" s="35">
        <f ca="1">IFERROR((IF((IFERROR(SUMIFS(Datos_Vacios!$G:$G,Datos_Vacios!$A:$A,$A$4,Datos_Vacios!$B:$B,$E$4,Datos_Vacios!$C:$C,7,Datos_Vacios!$F:$F,"Sí"),0))&gt;0,(IFERROR(SUMIFS(Datos_Vacios!$G:$G,Datos_Vacios!$A:$A,$A$4,Datos_Vacios!$B:$B,$E$4,Datos_Vacios!$C:$C,7,Datos_Vacios!$F:$F,"Sí"),0)),(IFERROR(SUMIFS(Datos_Vacios!$G:$G,Datos_Vacios!$A:$A,$A$4,Datos_Vacios!$B:$B,$E$4-1,Datos_Vacios!$C:$C,7,Datos_Vacios!$F:$F,"Sí"),0))))*(1+$C$4)/T23/Parametros!$B$8,0)</f>
        <v>1.0320987654320988</v>
      </c>
      <c r="S23" s="35">
        <f ca="1">IFERROR(C23*(IF($A$4="Casa Central",Tablas_Operativas!B12,Tablas_Operativas!F12))/T23/Parametros!$B$6,0)</f>
        <v>3.8724938271604943</v>
      </c>
      <c r="T23" s="36">
        <f ca="1">DAY(EOMONTH(DATE($E$4,7,1),0))-SUMPRODUCT((WEEKDAY(DATE($E$4,7,ROW(INDIRECT("1:"&amp;DAY(EOMONTH(DATE($E$4,7,1),0))))),2)=7)*1)</f>
        <v>27</v>
      </c>
      <c r="U23" s="37">
        <f ca="1">IFERROR((I23*Parametros!$B$14 + J23*Parametros!$B$14 + L23*Parametros!$B$16)/(G23*Parametros!$B$14),0)</f>
        <v>0.54285714285714282</v>
      </c>
      <c r="V23" s="38" t="str">
        <f ca="1">IF(M23&lt;-2,"🔴 CRÍTICO — Contratar "&amp;ABS(M23)&amp;" pickers urgente",IF(M23&lt;0,"🟠 FALTAN "&amp;ABS(M23)&amp;" picker(s) — horas extra o temp.",IF(P23&lt;0,"🟡 FALTAN "&amp;ABS(P23)&amp;" auto(s) — evaluar alquiler",IF(U23&gt;Parametros!$B$13,"🔴 SOBRECARGA "&amp;TEXT(U23,"0%"),IF(U23&gt;Parametros!$B$12,"🟡 RIESGO "&amp;TEXT(U23,"0%"),IF(M23&gt;3,"🟢 OK — evaluar reducir "&amp;(M23-2)&amp;" temp.","🟢 OK"))))))</f>
        <v>🟢 OK</v>
      </c>
    </row>
    <row r="24" spans="1:22" x14ac:dyDescent="0.2">
      <c r="A24" s="39" t="s">
        <v>60</v>
      </c>
      <c r="B24" s="40">
        <f>IFERROR(IF(SUMIFS(Datos_Volumen!$E:$E,Datos_Volumen!$A:$A,$A$4,Datos_Volumen!$B:$B,$E$4,Datos_Volumen!$C:$C,8)&gt;0,SUMIFS(Datos_Volumen!$E:$E,Datos_Volumen!$A:$A,$A$4,Datos_Volumen!$B:$B,$E$4,Datos_Volumen!$C:$C,8),SUMIFS(Datos_Volumen!$E:$E,Datos_Volumen!$A:$A,$A$4,Datos_Volumen!$B:$B,$E$4-1,Datos_Volumen!$C:$C,8)),0)</f>
        <v>40289</v>
      </c>
      <c r="C24" s="40">
        <f t="shared" si="0"/>
        <v>44317.9</v>
      </c>
      <c r="D24" s="40">
        <f>IFERROR(IF(SUMIFS(Datos_Volumen!$F:$F,Datos_Volumen!$A:$A,$A$4,Datos_Volumen!$B:$B,$E$4,Datos_Volumen!$C:$C,8)&gt;0,SUMIFS(Datos_Volumen!$F:$F,Datos_Volumen!$A:$A,$A$4,Datos_Volumen!$B:$B,$E$4,Datos_Volumen!$C:$C,8),SUMIFS(Datos_Volumen!$F:$F,Datos_Volumen!$A:$A,$A$4,Datos_Volumen!$B:$B,$E$4-1,Datos_Volumen!$C:$C,8)),0)</f>
        <v>4028</v>
      </c>
      <c r="E24" s="40">
        <f t="shared" si="1"/>
        <v>4430.8</v>
      </c>
      <c r="F24" s="41">
        <f>IFERROR(SUMIFS(Datos_Dotacion!$I:$I,Datos_Dotacion!$A:$A,$A$4,Datos_Dotacion!$B:$B,$E$4,Datos_Dotacion!$C:$C,8),0)</f>
        <v>6</v>
      </c>
      <c r="G24" s="42">
        <f>FLOOR(F24*(1-(IFERROR(SUMIFS(Datos_Dotacion!$J:$J,Datos_Dotacion!$A:$A,$A$4,Datos_Dotacion!$B:$B,$E$4,Datos_Dotacion!$C:$C,8),0))),1)</f>
        <v>5</v>
      </c>
      <c r="H24" s="43">
        <f>IF($A$4="Casa Central",Tablas_Operativas!B29,Tablas_Operativas!F29)</f>
        <v>1</v>
      </c>
      <c r="I24" s="43">
        <f ca="1">IFERROR(ROUNDUP((E24/T24/Parametros!$B$7)/Parametros!$B$14,0),0)</f>
        <v>1</v>
      </c>
      <c r="J24" s="100">
        <f ca="1">IFERROR(ROUNDUP(((IF((IFERROR(SUMIFS(Datos_Vacios!$G:$G,Datos_Vacios!$A:$A,$A$4,Datos_Vacios!$B:$B,$E$4,Datos_Vacios!$C:$C,8,Datos_Vacios!$F:$F,"Sí"),0))&gt;0,(IFERROR(SUMIFS(Datos_Vacios!$G:$G,Datos_Vacios!$A:$A,$A$4,Datos_Vacios!$B:$B,$E$4,Datos_Vacios!$C:$C,8,Datos_Vacios!$F:$F,"Sí"),0)),(IFERROR(SUMIFS(Datos_Vacios!$G:$G,Datos_Vacios!$A:$A,$A$4,Datos_Vacios!$B:$B,$E$4-1,Datos_Vacios!$C:$C,8,Datos_Vacios!$F:$F,"Sí"),0))))*(1+$C$4)/T24/Parametros!$B$8)/Parametros!$B$14,0),0)</f>
        <v>1</v>
      </c>
      <c r="K24" s="42">
        <f t="shared" ca="1" si="2"/>
        <v>2</v>
      </c>
      <c r="L24" s="44">
        <f ca="1">IFERROR(ROUNDUP((C24*(IF($A$4="Casa Central",Tablas_Operativas!B13,Tablas_Operativas!F13))/T24/Parametros!$B$6)/Parametros!$B$16,0),0)</f>
        <v>1</v>
      </c>
      <c r="M24" s="45">
        <f t="shared" ca="1" si="3"/>
        <v>1</v>
      </c>
      <c r="N24" s="46">
        <f t="shared" ca="1" si="4"/>
        <v>1</v>
      </c>
      <c r="O24" s="46">
        <f>IFERROR(SUMIFS(Datos_Dotacion!$K:$K,Datos_Dotacion!$A:$A,$A$4,Datos_Dotacion!$B:$B,$E$4,Datos_Dotacion!$C:$C,8)+SUMIFS(Datos_Dotacion!$L:$L,Datos_Dotacion!$A:$A,$A$4,Datos_Dotacion!$B:$B,$E$4,Datos_Dotacion!$C:$C,8),0)</f>
        <v>2</v>
      </c>
      <c r="P24" s="47">
        <f t="shared" ca="1" si="5"/>
        <v>1</v>
      </c>
      <c r="Q24" s="48">
        <f ca="1">IFERROR(E24/T24/Parametros!$B$7,0)</f>
        <v>3.8730769230769231</v>
      </c>
      <c r="R24" s="48">
        <f ca="1">IFERROR((IF((IFERROR(SUMIFS(Datos_Vacios!$G:$G,Datos_Vacios!$A:$A,$A$4,Datos_Vacios!$B:$B,$E$4,Datos_Vacios!$C:$C,8,Datos_Vacios!$F:$F,"Sí"),0))&gt;0,(IFERROR(SUMIFS(Datos_Vacios!$G:$G,Datos_Vacios!$A:$A,$A$4,Datos_Vacios!$B:$B,$E$4,Datos_Vacios!$C:$C,8,Datos_Vacios!$F:$F,"Sí"),0)),(IFERROR(SUMIFS(Datos_Vacios!$G:$G,Datos_Vacios!$A:$A,$A$4,Datos_Vacios!$B:$B,$E$4-1,Datos_Vacios!$C:$C,8,Datos_Vacios!$F:$F,"Sí"),0))))*(1+$C$4)/T24/Parametros!$B$8,0)</f>
        <v>1.3820512820512822</v>
      </c>
      <c r="S24" s="48">
        <f ca="1">IFERROR(C24*(IF($A$4="Casa Central",Tablas_Operativas!B13,Tablas_Operativas!F13))/T24/Parametros!$B$6,0)</f>
        <v>4.1322051282051282</v>
      </c>
      <c r="T24" s="49">
        <f ca="1">DAY(EOMONTH(DATE($E$4,8,1),0))-SUMPRODUCT((WEEKDAY(DATE($E$4,8,ROW(INDIRECT("1:"&amp;DAY(EOMONTH(DATE($E$4,8,1),0))))),2)=7)*1)</f>
        <v>26</v>
      </c>
      <c r="U24" s="50">
        <f ca="1">IFERROR((I24*Parametros!$B$14 + J24*Parametros!$B$14 + L24*Parametros!$B$16)/(G24*Parametros!$B$14),0)</f>
        <v>0.54285714285714282</v>
      </c>
      <c r="V24" s="51" t="str">
        <f ca="1">IF(M24&lt;-2,"🔴 CRÍTICO — Contratar "&amp;ABS(M24)&amp;" pickers urgente",IF(M24&lt;0,"🟠 FALTAN "&amp;ABS(M24)&amp;" picker(s) — horas extra o temp.",IF(P24&lt;0,"🟡 FALTAN "&amp;ABS(P24)&amp;" auto(s) — evaluar alquiler",IF(U24&gt;Parametros!$B$13,"🔴 SOBRECARGA "&amp;TEXT(U24,"0%"),IF(U24&gt;Parametros!$B$12,"🟡 RIESGO "&amp;TEXT(U24,"0%"),IF(M24&gt;3,"🟢 OK — evaluar reducir "&amp;(M24-2)&amp;" temp.","🟢 OK"))))))</f>
        <v>🟢 OK</v>
      </c>
    </row>
    <row r="25" spans="1:22" x14ac:dyDescent="0.2">
      <c r="A25" s="26" t="s">
        <v>61</v>
      </c>
      <c r="B25" s="27">
        <f>IFERROR(IF(SUMIFS(Datos_Volumen!$E:$E,Datos_Volumen!$A:$A,$A$4,Datos_Volumen!$B:$B,$E$4,Datos_Volumen!$C:$C,9)&gt;0,SUMIFS(Datos_Volumen!$E:$E,Datos_Volumen!$A:$A,$A$4,Datos_Volumen!$B:$B,$E$4,Datos_Volumen!$C:$C,9),SUMIFS(Datos_Volumen!$E:$E,Datos_Volumen!$A:$A,$A$4,Datos_Volumen!$B:$B,$E$4-1,Datos_Volumen!$C:$C,9)),0)</f>
        <v>23148</v>
      </c>
      <c r="C25" s="27">
        <f t="shared" si="0"/>
        <v>25462.800000000003</v>
      </c>
      <c r="D25" s="27">
        <f>IFERROR(IF(SUMIFS(Datos_Volumen!$F:$F,Datos_Volumen!$A:$A,$A$4,Datos_Volumen!$B:$B,$E$4,Datos_Volumen!$C:$C,9)&gt;0,SUMIFS(Datos_Volumen!$F:$F,Datos_Volumen!$A:$A,$A$4,Datos_Volumen!$B:$B,$E$4,Datos_Volumen!$C:$C,9),SUMIFS(Datos_Volumen!$F:$F,Datos_Volumen!$A:$A,$A$4,Datos_Volumen!$B:$B,$E$4-1,Datos_Volumen!$C:$C,9)),0)</f>
        <v>2117</v>
      </c>
      <c r="E25" s="27">
        <f t="shared" si="1"/>
        <v>2328.7000000000003</v>
      </c>
      <c r="F25" s="28">
        <f>IFERROR(SUMIFS(Datos_Dotacion!$I:$I,Datos_Dotacion!$A:$A,$A$4,Datos_Dotacion!$B:$B,$E$4,Datos_Dotacion!$C:$C,9),0)</f>
        <v>6</v>
      </c>
      <c r="G25" s="29">
        <f>FLOOR(F25*(1-(IFERROR(SUMIFS(Datos_Dotacion!$J:$J,Datos_Dotacion!$A:$A,$A$4,Datos_Dotacion!$B:$B,$E$4,Datos_Dotacion!$C:$C,9),0))),1)</f>
        <v>5</v>
      </c>
      <c r="H25" s="30">
        <f>IF($A$4="Casa Central",Tablas_Operativas!B30,Tablas_Operativas!F30)</f>
        <v>1</v>
      </c>
      <c r="I25" s="30">
        <f ca="1">IFERROR(ROUNDUP((E25/T25/Parametros!$B$7)/Parametros!$B$14,0),0)</f>
        <v>1</v>
      </c>
      <c r="J25" s="99">
        <f ca="1">IFERROR(ROUNDUP(((IF((IFERROR(SUMIFS(Datos_Vacios!$G:$G,Datos_Vacios!$A:$A,$A$4,Datos_Vacios!$B:$B,$E$4,Datos_Vacios!$C:$C,9,Datos_Vacios!$F:$F,"Sí"),0))&gt;0,(IFERROR(SUMIFS(Datos_Vacios!$G:$G,Datos_Vacios!$A:$A,$A$4,Datos_Vacios!$B:$B,$E$4,Datos_Vacios!$C:$C,9,Datos_Vacios!$F:$F,"Sí"),0)),(IFERROR(SUMIFS(Datos_Vacios!$G:$G,Datos_Vacios!$A:$A,$A$4,Datos_Vacios!$B:$B,$E$4-1,Datos_Vacios!$C:$C,9,Datos_Vacios!$F:$F,"Sí"),0))))*(1+$C$4)/T25/Parametros!$B$8)/Parametros!$B$14,0),0)</f>
        <v>1</v>
      </c>
      <c r="K25" s="29">
        <f t="shared" ca="1" si="2"/>
        <v>2</v>
      </c>
      <c r="L25" s="31">
        <f ca="1">IFERROR(ROUNDUP((C25*(IF($A$4="Casa Central",Tablas_Operativas!B14,Tablas_Operativas!F14))/T25/Parametros!$B$6)/Parametros!$B$16,0),0)</f>
        <v>1</v>
      </c>
      <c r="M25" s="32">
        <f t="shared" ca="1" si="3"/>
        <v>1</v>
      </c>
      <c r="N25" s="33">
        <f t="shared" ca="1" si="4"/>
        <v>1</v>
      </c>
      <c r="O25" s="33">
        <f>IFERROR(SUMIFS(Datos_Dotacion!$K:$K,Datos_Dotacion!$A:$A,$A$4,Datos_Dotacion!$B:$B,$E$4,Datos_Dotacion!$C:$C,9)+SUMIFS(Datos_Dotacion!$L:$L,Datos_Dotacion!$A:$A,$A$4,Datos_Dotacion!$B:$B,$E$4,Datos_Dotacion!$C:$C,9),0)</f>
        <v>2</v>
      </c>
      <c r="P25" s="34">
        <f t="shared" ca="1" si="5"/>
        <v>1</v>
      </c>
      <c r="Q25" s="35">
        <f ca="1">IFERROR(E25/T25/Parametros!$B$7,0)</f>
        <v>2.0355769230769236</v>
      </c>
      <c r="R25" s="35">
        <f ca="1">IFERROR((IF((IFERROR(SUMIFS(Datos_Vacios!$G:$G,Datos_Vacios!$A:$A,$A$4,Datos_Vacios!$B:$B,$E$4,Datos_Vacios!$C:$C,9,Datos_Vacios!$F:$F,"Sí"),0))&gt;0,(IFERROR(SUMIFS(Datos_Vacios!$G:$G,Datos_Vacios!$A:$A,$A$4,Datos_Vacios!$B:$B,$E$4,Datos_Vacios!$C:$C,9,Datos_Vacios!$F:$F,"Sí"),0)),(IFERROR(SUMIFS(Datos_Vacios!$G:$G,Datos_Vacios!$A:$A,$A$4,Datos_Vacios!$B:$B,$E$4-1,Datos_Vacios!$C:$C,9,Datos_Vacios!$F:$F,"Sí"),0))))*(1+$C$4)/T25/Parametros!$B$8,0)</f>
        <v>0.64871794871794874</v>
      </c>
      <c r="S25" s="35">
        <f ca="1">IFERROR(C25*(IF($A$4="Casa Central",Tablas_Operativas!B14,Tablas_Operativas!F14))/T25/Parametros!$B$6,0)</f>
        <v>2.3741538461538467</v>
      </c>
      <c r="T25" s="36">
        <f ca="1">DAY(EOMONTH(DATE($E$4,9,1),0))-SUMPRODUCT((WEEKDAY(DATE($E$4,9,ROW(INDIRECT("1:"&amp;DAY(EOMONTH(DATE($E$4,9,1),0))))),2)=7)*1)</f>
        <v>26</v>
      </c>
      <c r="U25" s="37">
        <f ca="1">IFERROR((I25*Parametros!$B$14 + J25*Parametros!$B$14 + L25*Parametros!$B$16)/(G25*Parametros!$B$14),0)</f>
        <v>0.54285714285714282</v>
      </c>
      <c r="V25" s="38" t="str">
        <f ca="1">IF(M25&lt;-2,"🔴 CRÍTICO — Contratar "&amp;ABS(M25)&amp;" pickers urgente",IF(M25&lt;0,"🟠 FALTAN "&amp;ABS(M25)&amp;" picker(s) — horas extra o temp.",IF(P25&lt;0,"🟡 FALTAN "&amp;ABS(P25)&amp;" auto(s) — evaluar alquiler",IF(U25&gt;Parametros!$B$13,"🔴 SOBRECARGA "&amp;TEXT(U25,"0%"),IF(U25&gt;Parametros!$B$12,"🟡 RIESGO "&amp;TEXT(U25,"0%"),IF(M25&gt;3,"🟢 OK — evaluar reducir "&amp;(M25-2)&amp;" temp.","🟢 OK"))))))</f>
        <v>🟢 OK</v>
      </c>
    </row>
    <row r="26" spans="1:22" x14ac:dyDescent="0.2">
      <c r="A26" s="39" t="s">
        <v>62</v>
      </c>
      <c r="B26" s="40">
        <f>IFERROR(IF(SUMIFS(Datos_Volumen!$E:$E,Datos_Volumen!$A:$A,$A$4,Datos_Volumen!$B:$B,$E$4,Datos_Volumen!$C:$C,10)&gt;0,SUMIFS(Datos_Volumen!$E:$E,Datos_Volumen!$A:$A,$A$4,Datos_Volumen!$B:$B,$E$4,Datos_Volumen!$C:$C,10),SUMIFS(Datos_Volumen!$E:$E,Datos_Volumen!$A:$A,$A$4,Datos_Volumen!$B:$B,$E$4-1,Datos_Volumen!$C:$C,10)),0)</f>
        <v>47723</v>
      </c>
      <c r="C26" s="40">
        <f t="shared" si="0"/>
        <v>52495.3</v>
      </c>
      <c r="D26" s="40">
        <f>IFERROR(IF(SUMIFS(Datos_Volumen!$F:$F,Datos_Volumen!$A:$A,$A$4,Datos_Volumen!$B:$B,$E$4,Datos_Volumen!$C:$C,10)&gt;0,SUMIFS(Datos_Volumen!$F:$F,Datos_Volumen!$A:$A,$A$4,Datos_Volumen!$B:$B,$E$4,Datos_Volumen!$C:$C,10),SUMIFS(Datos_Volumen!$F:$F,Datos_Volumen!$A:$A,$A$4,Datos_Volumen!$B:$B,$E$4-1,Datos_Volumen!$C:$C,10)),0)</f>
        <v>4748</v>
      </c>
      <c r="E26" s="40">
        <f t="shared" si="1"/>
        <v>5222.8</v>
      </c>
      <c r="F26" s="41">
        <f>IFERROR(SUMIFS(Datos_Dotacion!$I:$I,Datos_Dotacion!$A:$A,$A$4,Datos_Dotacion!$B:$B,$E$4,Datos_Dotacion!$C:$C,10),0)</f>
        <v>7</v>
      </c>
      <c r="G26" s="42">
        <f>FLOOR(F26*(1-(IFERROR(SUMIFS(Datos_Dotacion!$J:$J,Datos_Dotacion!$A:$A,$A$4,Datos_Dotacion!$B:$B,$E$4,Datos_Dotacion!$C:$C,10),0))),1)</f>
        <v>6</v>
      </c>
      <c r="H26" s="43">
        <f>IF($A$4="Casa Central",Tablas_Operativas!B31,Tablas_Operativas!F31)</f>
        <v>2</v>
      </c>
      <c r="I26" s="43">
        <f ca="1">IFERROR(ROUNDUP((E26/T26/Parametros!$B$7)/Parametros!$B$14,0),0)</f>
        <v>1</v>
      </c>
      <c r="J26" s="100">
        <f ca="1">IFERROR(ROUNDUP(((IF((IFERROR(SUMIFS(Datos_Vacios!$G:$G,Datos_Vacios!$A:$A,$A$4,Datos_Vacios!$B:$B,$E$4,Datos_Vacios!$C:$C,10,Datos_Vacios!$F:$F,"Sí"),0))&gt;0,(IFERROR(SUMIFS(Datos_Vacios!$G:$G,Datos_Vacios!$A:$A,$A$4,Datos_Vacios!$B:$B,$E$4,Datos_Vacios!$C:$C,10,Datos_Vacios!$F:$F,"Sí"),0)),(IFERROR(SUMIFS(Datos_Vacios!$G:$G,Datos_Vacios!$A:$A,$A$4,Datos_Vacios!$B:$B,$E$4-1,Datos_Vacios!$C:$C,10,Datos_Vacios!$F:$F,"Sí"),0))))*(1+$C$4)/T26/Parametros!$B$8)/Parametros!$B$14,0),0)</f>
        <v>1</v>
      </c>
      <c r="K26" s="42">
        <f t="shared" ca="1" si="2"/>
        <v>2</v>
      </c>
      <c r="L26" s="44">
        <f ca="1">IFERROR(ROUNDUP((C26*(IF($A$4="Casa Central",Tablas_Operativas!B15,Tablas_Operativas!F15))/T26/Parametros!$B$6)/Parametros!$B$16,0),0)</f>
        <v>1</v>
      </c>
      <c r="M26" s="45">
        <f t="shared" ca="1" si="3"/>
        <v>1</v>
      </c>
      <c r="N26" s="46">
        <f t="shared" ca="1" si="4"/>
        <v>1</v>
      </c>
      <c r="O26" s="46">
        <f>IFERROR(SUMIFS(Datos_Dotacion!$K:$K,Datos_Dotacion!$A:$A,$A$4,Datos_Dotacion!$B:$B,$E$4,Datos_Dotacion!$C:$C,10)+SUMIFS(Datos_Dotacion!$L:$L,Datos_Dotacion!$A:$A,$A$4,Datos_Dotacion!$B:$B,$E$4,Datos_Dotacion!$C:$C,10),0)</f>
        <v>2</v>
      </c>
      <c r="P26" s="47">
        <f t="shared" ca="1" si="5"/>
        <v>1</v>
      </c>
      <c r="Q26" s="48">
        <f ca="1">IFERROR(E26/T26/Parametros!$B$7,0)</f>
        <v>4.3962962962962964</v>
      </c>
      <c r="R26" s="48">
        <f ca="1">IFERROR((IF((IFERROR(SUMIFS(Datos_Vacios!$G:$G,Datos_Vacios!$A:$A,$A$4,Datos_Vacios!$B:$B,$E$4,Datos_Vacios!$C:$C,10,Datos_Vacios!$F:$F,"Sí"),0))&gt;0,(IFERROR(SUMIFS(Datos_Vacios!$G:$G,Datos_Vacios!$A:$A,$A$4,Datos_Vacios!$B:$B,$E$4,Datos_Vacios!$C:$C,10,Datos_Vacios!$F:$F,"Sí"),0)),(IFERROR(SUMIFS(Datos_Vacios!$G:$G,Datos_Vacios!$A:$A,$A$4,Datos_Vacios!$B:$B,$E$4-1,Datos_Vacios!$C:$C,10,Datos_Vacios!$F:$F,"Sí"),0))))*(1+$C$4)/T26/Parametros!$B$8,0)</f>
        <v>1.7563786008230453</v>
      </c>
      <c r="S26" s="48">
        <f ca="1">IFERROR(C26*(IF($A$4="Casa Central",Tablas_Operativas!B15,Tablas_Operativas!F15))/T26/Parametros!$B$6,0)</f>
        <v>4.7133827160493835</v>
      </c>
      <c r="T26" s="49">
        <f ca="1">DAY(EOMONTH(DATE($E$4,10,1),0))-SUMPRODUCT((WEEKDAY(DATE($E$4,10,ROW(INDIRECT("1:"&amp;DAY(EOMONTH(DATE($E$4,10,1),0))))),2)=7)*1)</f>
        <v>27</v>
      </c>
      <c r="U26" s="50">
        <f ca="1">IFERROR((I26*Parametros!$B$14 + J26*Parametros!$B$14 + L26*Parametros!$B$16)/(G26*Parametros!$B$14),0)</f>
        <v>0.45238095238095238</v>
      </c>
      <c r="V26" s="51" t="str">
        <f ca="1">IF(M26&lt;-2,"🔴 CRÍTICO — Contratar "&amp;ABS(M26)&amp;" pickers urgente",IF(M26&lt;0,"🟠 FALTAN "&amp;ABS(M26)&amp;" picker(s) — horas extra o temp.",IF(P26&lt;0,"🟡 FALTAN "&amp;ABS(P26)&amp;" auto(s) — evaluar alquiler",IF(U26&gt;Parametros!$B$13,"🔴 SOBRECARGA "&amp;TEXT(U26,"0%"),IF(U26&gt;Parametros!$B$12,"🟡 RIESGO "&amp;TEXT(U26,"0%"),IF(M26&gt;3,"🟢 OK — evaluar reducir "&amp;(M26-2)&amp;" temp.","🟢 OK"))))))</f>
        <v>🟢 OK</v>
      </c>
    </row>
    <row r="27" spans="1:22" x14ac:dyDescent="0.2">
      <c r="A27" s="26" t="s">
        <v>63</v>
      </c>
      <c r="B27" s="27">
        <f>IFERROR(IF(SUMIFS(Datos_Volumen!$E:$E,Datos_Volumen!$A:$A,$A$4,Datos_Volumen!$B:$B,$E$4,Datos_Volumen!$C:$C,11)&gt;0,SUMIFS(Datos_Volumen!$E:$E,Datos_Volumen!$A:$A,$A$4,Datos_Volumen!$B:$B,$E$4,Datos_Volumen!$C:$C,11),SUMIFS(Datos_Volumen!$E:$E,Datos_Volumen!$A:$A,$A$4,Datos_Volumen!$B:$B,$E$4-1,Datos_Volumen!$C:$C,11)),0)</f>
        <v>71645</v>
      </c>
      <c r="C27" s="27">
        <f t="shared" si="0"/>
        <v>78809.5</v>
      </c>
      <c r="D27" s="27">
        <f>IFERROR(IF(SUMIFS(Datos_Volumen!$F:$F,Datos_Volumen!$A:$A,$A$4,Datos_Volumen!$B:$B,$E$4,Datos_Volumen!$C:$C,11)&gt;0,SUMIFS(Datos_Volumen!$F:$F,Datos_Volumen!$A:$A,$A$4,Datos_Volumen!$B:$B,$E$4,Datos_Volumen!$C:$C,11),SUMIFS(Datos_Volumen!$F:$F,Datos_Volumen!$A:$A,$A$4,Datos_Volumen!$B:$B,$E$4-1,Datos_Volumen!$C:$C,11)),0)</f>
        <v>6687</v>
      </c>
      <c r="E27" s="27">
        <f t="shared" si="1"/>
        <v>7355.7000000000007</v>
      </c>
      <c r="F27" s="28">
        <f>IFERROR(SUMIFS(Datos_Dotacion!$I:$I,Datos_Dotacion!$A:$A,$A$4,Datos_Dotacion!$B:$B,$E$4,Datos_Dotacion!$C:$C,11),0)</f>
        <v>10</v>
      </c>
      <c r="G27" s="29">
        <f>FLOOR(F27*(1-(IFERROR(SUMIFS(Datos_Dotacion!$J:$J,Datos_Dotacion!$A:$A,$A$4,Datos_Dotacion!$B:$B,$E$4,Datos_Dotacion!$C:$C,11),0))),1)</f>
        <v>9</v>
      </c>
      <c r="H27" s="30">
        <f>IF($A$4="Casa Central",Tablas_Operativas!B32,Tablas_Operativas!F32)</f>
        <v>2</v>
      </c>
      <c r="I27" s="30">
        <f ca="1">IFERROR(ROUNDUP((E27/T27/Parametros!$B$7)/Parametros!$B$14,0),0)</f>
        <v>1</v>
      </c>
      <c r="J27" s="99">
        <f ca="1">IFERROR(ROUNDUP(((IF((IFERROR(SUMIFS(Datos_Vacios!$G:$G,Datos_Vacios!$A:$A,$A$4,Datos_Vacios!$B:$B,$E$4,Datos_Vacios!$C:$C,11,Datos_Vacios!$F:$F,"Sí"),0))&gt;0,(IFERROR(SUMIFS(Datos_Vacios!$G:$G,Datos_Vacios!$A:$A,$A$4,Datos_Vacios!$B:$B,$E$4,Datos_Vacios!$C:$C,11,Datos_Vacios!$F:$F,"Sí"),0)),(IFERROR(SUMIFS(Datos_Vacios!$G:$G,Datos_Vacios!$A:$A,$A$4,Datos_Vacios!$B:$B,$E$4-1,Datos_Vacios!$C:$C,11,Datos_Vacios!$F:$F,"Sí"),0))))*(1+$C$4)/T27/Parametros!$B$8)/Parametros!$B$14,0),0)</f>
        <v>1</v>
      </c>
      <c r="K27" s="29">
        <f t="shared" ca="1" si="2"/>
        <v>5</v>
      </c>
      <c r="L27" s="31">
        <f ca="1">IFERROR(ROUNDUP((C27*(IF($A$4="Casa Central",Tablas_Operativas!B16,Tablas_Operativas!F16))/T27/Parametros!$B$6)/Parametros!$B$16,0),0)</f>
        <v>2</v>
      </c>
      <c r="M27" s="32">
        <f t="shared" ca="1" si="3"/>
        <v>3</v>
      </c>
      <c r="N27" s="33">
        <f t="shared" ca="1" si="4"/>
        <v>1</v>
      </c>
      <c r="O27" s="33">
        <f>IFERROR(SUMIFS(Datos_Dotacion!$K:$K,Datos_Dotacion!$A:$A,$A$4,Datos_Dotacion!$B:$B,$E$4,Datos_Dotacion!$C:$C,11)+SUMIFS(Datos_Dotacion!$L:$L,Datos_Dotacion!$A:$A,$A$4,Datos_Dotacion!$B:$B,$E$4,Datos_Dotacion!$C:$C,11),0)</f>
        <v>2</v>
      </c>
      <c r="P27" s="34">
        <f t="shared" ca="1" si="5"/>
        <v>1</v>
      </c>
      <c r="Q27" s="35">
        <f ca="1">IFERROR(E27/T27/Parametros!$B$7,0)</f>
        <v>6.6870000000000003</v>
      </c>
      <c r="R27" s="35">
        <f ca="1">IFERROR((IF((IFERROR(SUMIFS(Datos_Vacios!$G:$G,Datos_Vacios!$A:$A,$A$4,Datos_Vacios!$B:$B,$E$4,Datos_Vacios!$C:$C,11,Datos_Vacios!$F:$F,"Sí"),0))&gt;0,(IFERROR(SUMIFS(Datos_Vacios!$G:$G,Datos_Vacios!$A:$A,$A$4,Datos_Vacios!$B:$B,$E$4,Datos_Vacios!$C:$C,11,Datos_Vacios!$F:$F,"Sí"),0)),(IFERROR(SUMIFS(Datos_Vacios!$G:$G,Datos_Vacios!$A:$A,$A$4,Datos_Vacios!$B:$B,$E$4-1,Datos_Vacios!$C:$C,11,Datos_Vacios!$F:$F,"Sí"),0))))*(1+$C$4)/T27/Parametros!$B$8,0)</f>
        <v>2.5031111111111115</v>
      </c>
      <c r="S27" s="35">
        <f ca="1">IFERROR(C27*(IF($A$4="Casa Central",Tablas_Operativas!B16,Tablas_Operativas!F16))/T27/Parametros!$B$6,0)</f>
        <v>7.6421333333333346</v>
      </c>
      <c r="T27" s="36">
        <f ca="1">DAY(EOMONTH(DATE($E$4,11,1),0))-SUMPRODUCT((WEEKDAY(DATE($E$4,11,ROW(INDIRECT("1:"&amp;DAY(EOMONTH(DATE($E$4,11,1),0))))),2)=7)*1)</f>
        <v>25</v>
      </c>
      <c r="U27" s="37">
        <f ca="1">IFERROR((I27*Parametros!$B$14 + J27*Parametros!$B$14 + L27*Parametros!$B$16)/(G27*Parametros!$B$14),0)</f>
        <v>0.38095238095238093</v>
      </c>
      <c r="V27" s="38" t="str">
        <f ca="1">IF(M27&lt;-2,"🔴 CRÍTICO — Contratar "&amp;ABS(M27)&amp;" pickers urgente",IF(M27&lt;0,"🟠 FALTAN "&amp;ABS(M27)&amp;" picker(s) — horas extra o temp.",IF(P27&lt;0,"🟡 FALTAN "&amp;ABS(P27)&amp;" auto(s) — evaluar alquiler",IF(U27&gt;Parametros!$B$13,"🔴 SOBRECARGA "&amp;TEXT(U27,"0%"),IF(U27&gt;Parametros!$B$12,"🟡 RIESGO "&amp;TEXT(U27,"0%"),IF(M27&gt;3,"🟢 OK — evaluar reducir "&amp;(M27-2)&amp;" temp.","🟢 OK"))))))</f>
        <v>🟢 OK</v>
      </c>
    </row>
    <row r="28" spans="1:22" x14ac:dyDescent="0.2">
      <c r="A28" s="39" t="s">
        <v>64</v>
      </c>
      <c r="B28" s="40">
        <f>IFERROR(IF(SUMIFS(Datos_Volumen!$E:$E,Datos_Volumen!$A:$A,$A$4,Datos_Volumen!$B:$B,$E$4,Datos_Volumen!$C:$C,12)&gt;0,SUMIFS(Datos_Volumen!$E:$E,Datos_Volumen!$A:$A,$A$4,Datos_Volumen!$B:$B,$E$4,Datos_Volumen!$C:$C,12),SUMIFS(Datos_Volumen!$E:$E,Datos_Volumen!$A:$A,$A$4,Datos_Volumen!$B:$B,$E$4-1,Datos_Volumen!$C:$C,12)),0)</f>
        <v>126769</v>
      </c>
      <c r="C28" s="40">
        <f t="shared" si="0"/>
        <v>139445.90000000002</v>
      </c>
      <c r="D28" s="40">
        <f>IFERROR(IF(SUMIFS(Datos_Volumen!$F:$F,Datos_Volumen!$A:$A,$A$4,Datos_Volumen!$B:$B,$E$4,Datos_Volumen!$C:$C,12)&gt;0,SUMIFS(Datos_Volumen!$F:$F,Datos_Volumen!$A:$A,$A$4,Datos_Volumen!$B:$B,$E$4,Datos_Volumen!$C:$C,12),SUMIFS(Datos_Volumen!$F:$F,Datos_Volumen!$A:$A,$A$4,Datos_Volumen!$B:$B,$E$4-1,Datos_Volumen!$C:$C,12)),0)</f>
        <v>12060</v>
      </c>
      <c r="E28" s="40">
        <f t="shared" si="1"/>
        <v>13266.000000000002</v>
      </c>
      <c r="F28" s="41">
        <f>IFERROR(SUMIFS(Datos_Dotacion!$I:$I,Datos_Dotacion!$A:$A,$A$4,Datos_Dotacion!$B:$B,$E$4,Datos_Dotacion!$C:$C,12),0)</f>
        <v>10</v>
      </c>
      <c r="G28" s="42">
        <f>FLOOR(F28*(1-(IFERROR(SUMIFS(Datos_Dotacion!$J:$J,Datos_Dotacion!$A:$A,$A$4,Datos_Dotacion!$B:$B,$E$4,Datos_Dotacion!$C:$C,12),0))),1)</f>
        <v>9</v>
      </c>
      <c r="H28" s="43">
        <f>IF($A$4="Casa Central",Tablas_Operativas!B33,Tablas_Operativas!F33)</f>
        <v>2</v>
      </c>
      <c r="I28" s="43">
        <f ca="1">IFERROR(ROUNDUP((E28/T28/Parametros!$B$7)/Parametros!$B$14,0),0)</f>
        <v>2</v>
      </c>
      <c r="J28" s="100">
        <f ca="1">IFERROR(ROUNDUP(((IF((IFERROR(SUMIFS(Datos_Vacios!$G:$G,Datos_Vacios!$A:$A,$A$4,Datos_Vacios!$B:$B,$E$4,Datos_Vacios!$C:$C,12,Datos_Vacios!$F:$F,"Sí"),0))&gt;0,(IFERROR(SUMIFS(Datos_Vacios!$G:$G,Datos_Vacios!$A:$A,$A$4,Datos_Vacios!$B:$B,$E$4,Datos_Vacios!$C:$C,12,Datos_Vacios!$F:$F,"Sí"),0)),(IFERROR(SUMIFS(Datos_Vacios!$G:$G,Datos_Vacios!$A:$A,$A$4,Datos_Vacios!$B:$B,$E$4-1,Datos_Vacios!$C:$C,12,Datos_Vacios!$F:$F,"Sí"),0))))*(1+$C$4)/T28/Parametros!$B$8)/Parametros!$B$14,0),0)</f>
        <v>1</v>
      </c>
      <c r="K28" s="42">
        <f t="shared" ca="1" si="2"/>
        <v>4</v>
      </c>
      <c r="L28" s="44">
        <f ca="1">IFERROR(ROUNDUP((C28*(IF($A$4="Casa Central",Tablas_Operativas!B17,Tablas_Operativas!F17))/T28/Parametros!$B$6)/Parametros!$B$16,0),0)</f>
        <v>3</v>
      </c>
      <c r="M28" s="45">
        <f t="shared" ca="1" si="3"/>
        <v>1</v>
      </c>
      <c r="N28" s="46">
        <f t="shared" ca="1" si="4"/>
        <v>2</v>
      </c>
      <c r="O28" s="46">
        <f>IFERROR(SUMIFS(Datos_Dotacion!$K:$K,Datos_Dotacion!$A:$A,$A$4,Datos_Dotacion!$B:$B,$E$4,Datos_Dotacion!$C:$C,12)+SUMIFS(Datos_Dotacion!$L:$L,Datos_Dotacion!$A:$A,$A$4,Datos_Dotacion!$B:$B,$E$4,Datos_Dotacion!$C:$C,12),0)</f>
        <v>4</v>
      </c>
      <c r="P28" s="47">
        <f t="shared" ca="1" si="5"/>
        <v>2</v>
      </c>
      <c r="Q28" s="48">
        <f ca="1">IFERROR(E28/T28/Parametros!$B$7,0)</f>
        <v>11.16666666666667</v>
      </c>
      <c r="R28" s="48">
        <f ca="1">IFERROR((IF((IFERROR(SUMIFS(Datos_Vacios!$G:$G,Datos_Vacios!$A:$A,$A$4,Datos_Vacios!$B:$B,$E$4,Datos_Vacios!$C:$C,12,Datos_Vacios!$F:$F,"Sí"),0))&gt;0,(IFERROR(SUMIFS(Datos_Vacios!$G:$G,Datos_Vacios!$A:$A,$A$4,Datos_Vacios!$B:$B,$E$4,Datos_Vacios!$C:$C,12,Datos_Vacios!$F:$F,"Sí"),0)),(IFERROR(SUMIFS(Datos_Vacios!$G:$G,Datos_Vacios!$A:$A,$A$4,Datos_Vacios!$B:$B,$E$4-1,Datos_Vacios!$C:$C,12,Datos_Vacios!$F:$F,"Sí"),0))))*(1+$C$4)/T28/Parametros!$B$8,0)</f>
        <v>4.0197530864197528</v>
      </c>
      <c r="S28" s="48">
        <f ca="1">IFERROR(C28*(IF($A$4="Casa Central",Tablas_Operativas!B17,Tablas_Operativas!F17))/T28/Parametros!$B$6,0)</f>
        <v>12.520395061728399</v>
      </c>
      <c r="T28" s="49">
        <f ca="1">DAY(EOMONTH(DATE($E$4,12,1),0))-SUMPRODUCT((WEEKDAY(DATE($E$4,12,ROW(INDIRECT("1:"&amp;DAY(EOMONTH(DATE($E$4,12,1),0))))),2)=7)*1)</f>
        <v>27</v>
      </c>
      <c r="U28" s="50">
        <f ca="1">IFERROR((I28*Parametros!$B$14 + J28*Parametros!$B$14 + L28*Parametros!$B$16)/(G28*Parametros!$B$14),0)</f>
        <v>0.5714285714285714</v>
      </c>
      <c r="V28" s="51" t="str">
        <f ca="1">IF(M28&lt;-2,"🔴 CRÍTICO — Contratar "&amp;ABS(M28)&amp;" pickers urgente",IF(M28&lt;0,"🟠 FALTAN "&amp;ABS(M28)&amp;" picker(s) — horas extra o temp.",IF(P28&lt;0,"🟡 FALTAN "&amp;ABS(P28)&amp;" auto(s) — evaluar alquiler",IF(U28&gt;Parametros!$B$13,"🔴 SOBRECARGA "&amp;TEXT(U28,"0%"),IF(U28&gt;Parametros!$B$12,"🟡 RIESGO "&amp;TEXT(U28,"0%"),IF(M28&gt;3,"🟢 OK — evaluar reducir "&amp;(M28-2)&amp;" temp.","🟢 OK"))))))</f>
        <v>🟢 OK</v>
      </c>
    </row>
    <row r="29" spans="1:22" x14ac:dyDescent="0.2">
      <c r="A29" s="52" t="s">
        <v>65</v>
      </c>
      <c r="B29" s="53">
        <f>SUM(B17:B28)</f>
        <v>917255</v>
      </c>
      <c r="C29" s="53">
        <f>SUM(C17:C28)</f>
        <v>1008980.5000000002</v>
      </c>
      <c r="D29" s="53">
        <f>SUM(D17:D28)</f>
        <v>85537</v>
      </c>
      <c r="E29" s="53">
        <f>SUM(E17:E28)</f>
        <v>94090.700000000012</v>
      </c>
      <c r="F29" s="54">
        <f t="shared" ref="F29:M29" si="6">AVERAGE(F17:F28)</f>
        <v>9.0833333333333339</v>
      </c>
      <c r="G29" s="54">
        <f t="shared" si="6"/>
        <v>8.0833333333333339</v>
      </c>
      <c r="H29" s="54">
        <f t="shared" si="6"/>
        <v>1.4166666666666667</v>
      </c>
      <c r="I29" s="54">
        <f t="shared" ca="1" si="6"/>
        <v>1.5</v>
      </c>
      <c r="J29" s="54">
        <f t="shared" ca="1" si="6"/>
        <v>1</v>
      </c>
      <c r="K29" s="54">
        <f t="shared" ca="1" si="6"/>
        <v>4.166666666666667</v>
      </c>
      <c r="L29" s="54">
        <f t="shared" ca="1" si="6"/>
        <v>1.9166666666666667</v>
      </c>
      <c r="M29" s="55">
        <f t="shared" ca="1" si="6"/>
        <v>2.25</v>
      </c>
      <c r="N29" s="56">
        <f ca="1">MAX(N17:N28)</f>
        <v>4</v>
      </c>
      <c r="O29" s="56">
        <f>MIN(O17:O28)</f>
        <v>2</v>
      </c>
      <c r="P29" s="57">
        <f ca="1">MIN(P17:P28)</f>
        <v>0</v>
      </c>
      <c r="Q29" s="54">
        <f ca="1">AVERAGE(Q17:Q28)</f>
        <v>6.8526018221747398</v>
      </c>
      <c r="R29" s="54">
        <f ca="1">AVERAGE(R17:R28)</f>
        <v>2.2892431149097816</v>
      </c>
      <c r="S29" s="54">
        <f ca="1">AVERAGE(S17:S28)</f>
        <v>7.8428017885406787</v>
      </c>
      <c r="T29" s="54">
        <f ca="1">AVERAGE(T17:T28)</f>
        <v>26.083333333333332</v>
      </c>
      <c r="U29" s="58">
        <f ca="1">IFERROR(AVERAGE(U17:U28),0)</f>
        <v>0.49586834733893542</v>
      </c>
    </row>
    <row r="30" spans="1:22" x14ac:dyDescent="0.2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</row>
    <row r="31" spans="1:22" x14ac:dyDescent="0.2">
      <c r="A31" s="126" t="s">
        <v>66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</row>
    <row r="32" spans="1:22" x14ac:dyDescent="0.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</row>
    <row r="33" spans="1:22" x14ac:dyDescent="0.2">
      <c r="A33" s="127" t="s">
        <v>67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</row>
    <row r="34" spans="1:22" x14ac:dyDescent="0.2">
      <c r="A34" s="128" t="s">
        <v>68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</row>
    <row r="35" spans="1:22" x14ac:dyDescent="0.2">
      <c r="A35" s="128" t="s">
        <v>69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</row>
    <row r="36" spans="1:22" x14ac:dyDescent="0.2">
      <c r="A36" s="128" t="s">
        <v>70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</row>
    <row r="37" spans="1:22" x14ac:dyDescent="0.2">
      <c r="A37" s="128" t="s">
        <v>71</v>
      </c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</row>
    <row r="38" spans="1:22" x14ac:dyDescent="0.2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</row>
    <row r="75" spans="1:22" x14ac:dyDescent="0.2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</row>
    <row r="76" spans="1:22" x14ac:dyDescent="0.2">
      <c r="A76" s="129" t="s">
        <v>72</v>
      </c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</row>
    <row r="77" spans="1:22" x14ac:dyDescent="0.2">
      <c r="A77" s="59" t="s">
        <v>73</v>
      </c>
      <c r="B77" s="130" t="s">
        <v>74</v>
      </c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</row>
    <row r="78" spans="1:22" x14ac:dyDescent="0.2">
      <c r="A78" s="59" t="s">
        <v>75</v>
      </c>
      <c r="B78" s="130" t="s">
        <v>76</v>
      </c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</row>
    <row r="79" spans="1:22" x14ac:dyDescent="0.2">
      <c r="A79" s="60" t="s">
        <v>77</v>
      </c>
      <c r="B79" s="130" t="s">
        <v>78</v>
      </c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</row>
    <row r="80" spans="1:22" x14ac:dyDescent="0.2">
      <c r="A80" s="60" t="s">
        <v>79</v>
      </c>
      <c r="B80" s="130" t="s">
        <v>80</v>
      </c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</row>
    <row r="81" spans="1:22" x14ac:dyDescent="0.2">
      <c r="A81" s="61" t="s">
        <v>81</v>
      </c>
      <c r="B81" s="130" t="s">
        <v>82</v>
      </c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</row>
    <row r="82" spans="1:22" x14ac:dyDescent="0.2">
      <c r="A82" s="60" t="s">
        <v>83</v>
      </c>
      <c r="B82" s="130" t="s">
        <v>84</v>
      </c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</row>
    <row r="83" spans="1:22" x14ac:dyDescent="0.2">
      <c r="A83" s="61" t="s">
        <v>85</v>
      </c>
      <c r="B83" s="130" t="s">
        <v>86</v>
      </c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</row>
    <row r="84" spans="1:22" x14ac:dyDescent="0.2">
      <c r="A84" s="62" t="s">
        <v>87</v>
      </c>
      <c r="B84" s="130" t="s">
        <v>88</v>
      </c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</row>
    <row r="85" spans="1:22" x14ac:dyDescent="0.2">
      <c r="A85" s="63" t="s">
        <v>89</v>
      </c>
      <c r="B85" s="130" t="s">
        <v>90</v>
      </c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</row>
    <row r="86" spans="1:22" x14ac:dyDescent="0.2">
      <c r="A86" s="64" t="s">
        <v>91</v>
      </c>
      <c r="B86" s="130" t="s">
        <v>92</v>
      </c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</row>
    <row r="87" spans="1:22" x14ac:dyDescent="0.2">
      <c r="A87" s="59" t="s">
        <v>93</v>
      </c>
      <c r="B87" s="130" t="s">
        <v>94</v>
      </c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</row>
    <row r="88" spans="1:22" x14ac:dyDescent="0.2">
      <c r="A88" s="65" t="s">
        <v>95</v>
      </c>
      <c r="B88" s="130" t="s">
        <v>96</v>
      </c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</row>
    <row r="89" spans="1:22" x14ac:dyDescent="0.2">
      <c r="A89" s="66" t="s">
        <v>97</v>
      </c>
      <c r="B89" s="130" t="s">
        <v>98</v>
      </c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</row>
  </sheetData>
  <mergeCells count="56">
    <mergeCell ref="B86:V86"/>
    <mergeCell ref="B87:V87"/>
    <mergeCell ref="B88:V88"/>
    <mergeCell ref="B89:V89"/>
    <mergeCell ref="B81:V81"/>
    <mergeCell ref="B82:V82"/>
    <mergeCell ref="B83:V83"/>
    <mergeCell ref="B84:V84"/>
    <mergeCell ref="B85:V85"/>
    <mergeCell ref="A76:V76"/>
    <mergeCell ref="B77:V77"/>
    <mergeCell ref="B78:V78"/>
    <mergeCell ref="B79:V79"/>
    <mergeCell ref="B80:V80"/>
    <mergeCell ref="A35:V35"/>
    <mergeCell ref="A36:V36"/>
    <mergeCell ref="A37:V37"/>
    <mergeCell ref="A38:V38"/>
    <mergeCell ref="A75:V75"/>
    <mergeCell ref="A30:V30"/>
    <mergeCell ref="A31:V31"/>
    <mergeCell ref="A32:V32"/>
    <mergeCell ref="A33:V33"/>
    <mergeCell ref="A34:V34"/>
    <mergeCell ref="A13:V13"/>
    <mergeCell ref="A14:V14"/>
    <mergeCell ref="B15:C15"/>
    <mergeCell ref="D15:E15"/>
    <mergeCell ref="Q15:S15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A9:C9"/>
    <mergeCell ref="D9:F9"/>
    <mergeCell ref="G9:I9"/>
    <mergeCell ref="J9:L9"/>
    <mergeCell ref="M9:O9"/>
    <mergeCell ref="B6:V6"/>
    <mergeCell ref="A7:V7"/>
    <mergeCell ref="A8:C8"/>
    <mergeCell ref="D8:F8"/>
    <mergeCell ref="G8:I8"/>
    <mergeCell ref="J8:L8"/>
    <mergeCell ref="M8:O8"/>
    <mergeCell ref="A1:V1"/>
    <mergeCell ref="A2:V2"/>
    <mergeCell ref="G3:V3"/>
    <mergeCell ref="G4:V4"/>
    <mergeCell ref="A5:V5"/>
  </mergeCells>
  <dataValidations count="1">
    <dataValidation type="list" sqref="A4" xr:uid="{00000000-0002-0000-0000-000000000000}">
      <formula1>"Casa Central,Dolores"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1000000}">
          <x14:formula1>
            <xm:f>Parametros!$F$2:$F$14</xm:f>
          </x14:formula1>
          <x14:formula2>
            <xm:f>0</xm:f>
          </x14:formula2>
          <xm:sqref>C4</xm:sqref>
        </x14:dataValidation>
        <x14:dataValidation type="list" xr:uid="{00000000-0002-0000-0000-000002000000}">
          <x14:formula1>
            <xm:f>Parametros!$J$2:$J$3</xm:f>
          </x14:formula1>
          <x14:formula2>
            <xm:f>0</xm:f>
          </x14:formula2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showGridLines="0" topLeftCell="A18" zoomScaleNormal="100" workbookViewId="0">
      <selection activeCell="B22" sqref="B22"/>
    </sheetView>
  </sheetViews>
  <sheetFormatPr baseColWidth="10" defaultColWidth="9.28515625" defaultRowHeight="15" customHeight="1" x14ac:dyDescent="0.2"/>
  <cols>
    <col min="3" max="3" width="20.28515625" customWidth="1"/>
    <col min="7" max="7" width="19.7109375" customWidth="1"/>
  </cols>
  <sheetData>
    <row r="1" spans="1:10" ht="15" customHeight="1" x14ac:dyDescent="0.2">
      <c r="A1" s="133" t="s">
        <v>99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15" customHeight="1" x14ac:dyDescent="0.2">
      <c r="A2" s="134" t="s">
        <v>100</v>
      </c>
      <c r="B2" s="134"/>
      <c r="C2" s="134"/>
      <c r="D2" s="134"/>
      <c r="E2" s="134"/>
      <c r="F2" s="134"/>
      <c r="G2" s="134"/>
      <c r="H2" s="134"/>
      <c r="I2" s="134"/>
      <c r="J2" s="134"/>
    </row>
    <row r="4" spans="1:10" ht="15" customHeight="1" x14ac:dyDescent="0.2">
      <c r="A4" s="127" t="s">
        <v>101</v>
      </c>
      <c r="B4" s="127"/>
      <c r="C4" s="127"/>
      <c r="D4" s="127"/>
      <c r="E4" s="127"/>
      <c r="F4" s="127"/>
      <c r="G4" s="127"/>
    </row>
    <row r="5" spans="1:10" ht="15" customHeight="1" x14ac:dyDescent="0.2">
      <c r="A5" s="52" t="s">
        <v>19</v>
      </c>
      <c r="B5" s="67" t="s">
        <v>102</v>
      </c>
      <c r="C5" s="68" t="s">
        <v>103</v>
      </c>
      <c r="E5" s="52" t="s">
        <v>19</v>
      </c>
      <c r="F5" s="59" t="s">
        <v>104</v>
      </c>
      <c r="G5" s="69" t="s">
        <v>105</v>
      </c>
    </row>
    <row r="6" spans="1:10" ht="15" customHeight="1" x14ac:dyDescent="0.2">
      <c r="A6" s="70" t="s">
        <v>53</v>
      </c>
      <c r="B6" s="71">
        <v>0.8</v>
      </c>
      <c r="C6" s="72">
        <f t="shared" ref="C6:C17" si="0">1-B6</f>
        <v>0.19999999999999996</v>
      </c>
      <c r="D6" s="1" t="s">
        <v>106</v>
      </c>
      <c r="E6" s="70" t="s">
        <v>53</v>
      </c>
      <c r="F6" s="73">
        <v>0.6</v>
      </c>
      <c r="G6" s="72">
        <f t="shared" ref="G6:G17" si="1">1-F6</f>
        <v>0.4</v>
      </c>
    </row>
    <row r="7" spans="1:10" ht="15" customHeight="1" x14ac:dyDescent="0.2">
      <c r="A7" s="74" t="s">
        <v>54</v>
      </c>
      <c r="B7" s="71">
        <v>0.8</v>
      </c>
      <c r="C7" s="75">
        <f t="shared" si="0"/>
        <v>0.19999999999999996</v>
      </c>
      <c r="D7" s="1" t="s">
        <v>106</v>
      </c>
      <c r="E7" s="74" t="s">
        <v>54</v>
      </c>
      <c r="F7" s="73">
        <v>0.6</v>
      </c>
      <c r="G7" s="75">
        <f t="shared" si="1"/>
        <v>0.4</v>
      </c>
    </row>
    <row r="8" spans="1:10" ht="15" customHeight="1" x14ac:dyDescent="0.2">
      <c r="A8" s="70" t="s">
        <v>55</v>
      </c>
      <c r="B8" s="71">
        <v>0.8</v>
      </c>
      <c r="C8" s="72">
        <f t="shared" si="0"/>
        <v>0.19999999999999996</v>
      </c>
      <c r="D8" s="1" t="s">
        <v>106</v>
      </c>
      <c r="E8" s="70" t="s">
        <v>55</v>
      </c>
      <c r="F8" s="73">
        <v>0.6</v>
      </c>
      <c r="G8" s="72">
        <f t="shared" si="1"/>
        <v>0.4</v>
      </c>
    </row>
    <row r="9" spans="1:10" ht="15" customHeight="1" x14ac:dyDescent="0.2">
      <c r="A9" s="74" t="s">
        <v>56</v>
      </c>
      <c r="B9" s="71">
        <v>0.8</v>
      </c>
      <c r="C9" s="75">
        <f t="shared" si="0"/>
        <v>0.19999999999999996</v>
      </c>
      <c r="D9" s="1" t="s">
        <v>106</v>
      </c>
      <c r="E9" s="74" t="s">
        <v>56</v>
      </c>
      <c r="F9" s="73">
        <v>0.6</v>
      </c>
      <c r="G9" s="75">
        <f t="shared" si="1"/>
        <v>0.4</v>
      </c>
    </row>
    <row r="10" spans="1:10" ht="15" customHeight="1" x14ac:dyDescent="0.2">
      <c r="A10" s="70" t="s">
        <v>57</v>
      </c>
      <c r="B10" s="71">
        <v>0.8</v>
      </c>
      <c r="C10" s="72">
        <f t="shared" si="0"/>
        <v>0.19999999999999996</v>
      </c>
      <c r="D10" s="1" t="s">
        <v>106</v>
      </c>
      <c r="E10" s="70" t="s">
        <v>57</v>
      </c>
      <c r="F10" s="73">
        <v>0.6</v>
      </c>
      <c r="G10" s="72">
        <f t="shared" si="1"/>
        <v>0.4</v>
      </c>
    </row>
    <row r="11" spans="1:10" ht="15" customHeight="1" x14ac:dyDescent="0.2">
      <c r="A11" s="74" t="s">
        <v>58</v>
      </c>
      <c r="B11" s="71">
        <v>0.8</v>
      </c>
      <c r="C11" s="75">
        <f t="shared" si="0"/>
        <v>0.19999999999999996</v>
      </c>
      <c r="D11" s="1" t="s">
        <v>106</v>
      </c>
      <c r="E11" s="74" t="s">
        <v>58</v>
      </c>
      <c r="F11" s="73">
        <v>0.6</v>
      </c>
      <c r="G11" s="75">
        <f t="shared" si="1"/>
        <v>0.4</v>
      </c>
    </row>
    <row r="12" spans="1:10" ht="15" customHeight="1" x14ac:dyDescent="0.2">
      <c r="A12" s="70" t="s">
        <v>59</v>
      </c>
      <c r="B12" s="71">
        <v>0.8</v>
      </c>
      <c r="C12" s="72">
        <f t="shared" si="0"/>
        <v>0.19999999999999996</v>
      </c>
      <c r="D12" s="1" t="s">
        <v>106</v>
      </c>
      <c r="E12" s="70" t="s">
        <v>59</v>
      </c>
      <c r="F12" s="73">
        <v>0.6</v>
      </c>
      <c r="G12" s="72">
        <f t="shared" si="1"/>
        <v>0.4</v>
      </c>
    </row>
    <row r="13" spans="1:10" ht="15" customHeight="1" x14ac:dyDescent="0.2">
      <c r="A13" s="74" t="s">
        <v>60</v>
      </c>
      <c r="B13" s="71">
        <v>0.8</v>
      </c>
      <c r="C13" s="75">
        <f t="shared" si="0"/>
        <v>0.19999999999999996</v>
      </c>
      <c r="D13" s="1" t="s">
        <v>106</v>
      </c>
      <c r="E13" s="74" t="s">
        <v>60</v>
      </c>
      <c r="F13" s="73">
        <v>0.6</v>
      </c>
      <c r="G13" s="75">
        <f t="shared" si="1"/>
        <v>0.4</v>
      </c>
    </row>
    <row r="14" spans="1:10" ht="15" customHeight="1" x14ac:dyDescent="0.2">
      <c r="A14" s="70" t="s">
        <v>61</v>
      </c>
      <c r="B14" s="71">
        <v>0.8</v>
      </c>
      <c r="C14" s="72">
        <f t="shared" si="0"/>
        <v>0.19999999999999996</v>
      </c>
      <c r="D14" s="1" t="s">
        <v>106</v>
      </c>
      <c r="E14" s="70" t="s">
        <v>61</v>
      </c>
      <c r="F14" s="73">
        <v>0.6</v>
      </c>
      <c r="G14" s="72">
        <f t="shared" si="1"/>
        <v>0.4</v>
      </c>
    </row>
    <row r="15" spans="1:10" ht="15" customHeight="1" x14ac:dyDescent="0.2">
      <c r="A15" s="74" t="s">
        <v>62</v>
      </c>
      <c r="B15" s="71">
        <v>0.8</v>
      </c>
      <c r="C15" s="75">
        <f t="shared" si="0"/>
        <v>0.19999999999999996</v>
      </c>
      <c r="D15" s="1" t="s">
        <v>106</v>
      </c>
      <c r="E15" s="74" t="s">
        <v>62</v>
      </c>
      <c r="F15" s="73">
        <v>0.6</v>
      </c>
      <c r="G15" s="75">
        <f t="shared" si="1"/>
        <v>0.4</v>
      </c>
    </row>
    <row r="16" spans="1:10" ht="15" customHeight="1" x14ac:dyDescent="0.2">
      <c r="A16" s="70" t="s">
        <v>63</v>
      </c>
      <c r="B16" s="71">
        <v>0.8</v>
      </c>
      <c r="C16" s="72">
        <f t="shared" si="0"/>
        <v>0.19999999999999996</v>
      </c>
      <c r="D16" s="1" t="s">
        <v>106</v>
      </c>
      <c r="E16" s="70" t="s">
        <v>63</v>
      </c>
      <c r="F16" s="73">
        <v>0.6</v>
      </c>
      <c r="G16" s="72">
        <f t="shared" si="1"/>
        <v>0.4</v>
      </c>
    </row>
    <row r="17" spans="1:10" ht="15" customHeight="1" x14ac:dyDescent="0.2">
      <c r="A17" s="74" t="s">
        <v>64</v>
      </c>
      <c r="B17" s="71">
        <v>0.8</v>
      </c>
      <c r="C17" s="75">
        <f t="shared" si="0"/>
        <v>0.19999999999999996</v>
      </c>
      <c r="D17" s="1" t="s">
        <v>106</v>
      </c>
      <c r="E17" s="74" t="s">
        <v>64</v>
      </c>
      <c r="F17" s="73">
        <v>0.6</v>
      </c>
      <c r="G17" s="75">
        <f t="shared" si="1"/>
        <v>0.4</v>
      </c>
    </row>
    <row r="18" spans="1:10" ht="36" customHeight="1" x14ac:dyDescent="0.2">
      <c r="A18" s="135" t="s">
        <v>107</v>
      </c>
      <c r="B18" s="135"/>
      <c r="C18" s="135"/>
      <c r="D18" s="135"/>
      <c r="E18" s="135"/>
      <c r="F18" s="135"/>
      <c r="G18" s="135"/>
    </row>
    <row r="19" spans="1:10" ht="15" customHeight="1" x14ac:dyDescent="0.2">
      <c r="A19" s="102"/>
      <c r="B19" s="102"/>
      <c r="C19" s="102"/>
      <c r="D19" s="102"/>
      <c r="E19" s="102"/>
      <c r="F19" s="102"/>
      <c r="G19" s="102"/>
      <c r="H19" s="102"/>
      <c r="I19" s="102"/>
      <c r="J19" s="102"/>
    </row>
    <row r="20" spans="1:10" ht="15" customHeight="1" x14ac:dyDescent="0.2">
      <c r="A20" s="131" t="s">
        <v>108</v>
      </c>
      <c r="B20" s="131"/>
      <c r="C20" s="131"/>
      <c r="D20" s="131"/>
      <c r="E20" s="131"/>
      <c r="F20" s="131"/>
      <c r="G20" s="131"/>
    </row>
    <row r="21" spans="1:10" ht="15" customHeight="1" x14ac:dyDescent="0.2">
      <c r="A21" s="52" t="s">
        <v>19</v>
      </c>
      <c r="B21" s="60" t="s">
        <v>109</v>
      </c>
      <c r="C21" s="63" t="s">
        <v>110</v>
      </c>
      <c r="E21" s="52" t="s">
        <v>19</v>
      </c>
      <c r="F21" s="59" t="s">
        <v>111</v>
      </c>
      <c r="G21" s="69" t="s">
        <v>110</v>
      </c>
    </row>
    <row r="22" spans="1:10" ht="15" customHeight="1" x14ac:dyDescent="0.2">
      <c r="A22" s="70" t="s">
        <v>53</v>
      </c>
      <c r="B22" s="76">
        <v>2</v>
      </c>
      <c r="C22" s="77" t="s">
        <v>112</v>
      </c>
      <c r="D22" s="1" t="s">
        <v>106</v>
      </c>
      <c r="E22" s="70" t="s">
        <v>53</v>
      </c>
      <c r="F22" s="78">
        <v>1</v>
      </c>
      <c r="G22" s="77" t="s">
        <v>112</v>
      </c>
    </row>
    <row r="23" spans="1:10" ht="15" customHeight="1" x14ac:dyDescent="0.2">
      <c r="A23" s="74" t="s">
        <v>54</v>
      </c>
      <c r="B23" s="76">
        <v>2</v>
      </c>
      <c r="C23" s="79" t="s">
        <v>112</v>
      </c>
      <c r="D23" s="1" t="s">
        <v>106</v>
      </c>
      <c r="E23" s="74" t="s">
        <v>54</v>
      </c>
      <c r="F23" s="78">
        <v>1</v>
      </c>
      <c r="G23" s="79" t="s">
        <v>112</v>
      </c>
    </row>
    <row r="24" spans="1:10" ht="15" customHeight="1" x14ac:dyDescent="0.2">
      <c r="A24" s="70" t="s">
        <v>55</v>
      </c>
      <c r="B24" s="76">
        <v>1</v>
      </c>
      <c r="C24" s="77" t="s">
        <v>112</v>
      </c>
      <c r="D24" s="1" t="s">
        <v>106</v>
      </c>
      <c r="E24" s="70" t="s">
        <v>55</v>
      </c>
      <c r="F24" s="78">
        <v>1</v>
      </c>
      <c r="G24" s="77" t="s">
        <v>112</v>
      </c>
    </row>
    <row r="25" spans="1:10" ht="15" customHeight="1" x14ac:dyDescent="0.2">
      <c r="A25" s="74" t="s">
        <v>56</v>
      </c>
      <c r="B25" s="76">
        <v>1</v>
      </c>
      <c r="C25" s="79" t="s">
        <v>112</v>
      </c>
      <c r="D25" s="1" t="s">
        <v>106</v>
      </c>
      <c r="E25" s="74" t="s">
        <v>56</v>
      </c>
      <c r="F25" s="78">
        <v>1</v>
      </c>
      <c r="G25" s="79" t="s">
        <v>112</v>
      </c>
    </row>
    <row r="26" spans="1:10" ht="15" customHeight="1" x14ac:dyDescent="0.2">
      <c r="A26" s="70" t="s">
        <v>57</v>
      </c>
      <c r="B26" s="76">
        <v>1</v>
      </c>
      <c r="C26" s="77" t="s">
        <v>112</v>
      </c>
      <c r="D26" s="1" t="s">
        <v>106</v>
      </c>
      <c r="E26" s="70" t="s">
        <v>57</v>
      </c>
      <c r="F26" s="78">
        <v>1</v>
      </c>
      <c r="G26" s="77" t="s">
        <v>112</v>
      </c>
    </row>
    <row r="27" spans="1:10" ht="15" customHeight="1" x14ac:dyDescent="0.2">
      <c r="A27" s="74" t="s">
        <v>58</v>
      </c>
      <c r="B27" s="76">
        <v>1</v>
      </c>
      <c r="C27" s="79" t="s">
        <v>112</v>
      </c>
      <c r="D27" s="1" t="s">
        <v>106</v>
      </c>
      <c r="E27" s="74" t="s">
        <v>58</v>
      </c>
      <c r="F27" s="78">
        <v>1</v>
      </c>
      <c r="G27" s="79" t="s">
        <v>112</v>
      </c>
    </row>
    <row r="28" spans="1:10" ht="15" customHeight="1" x14ac:dyDescent="0.2">
      <c r="A28" s="70" t="s">
        <v>59</v>
      </c>
      <c r="B28" s="76">
        <v>1</v>
      </c>
      <c r="C28" s="77" t="s">
        <v>112</v>
      </c>
      <c r="D28" s="1" t="s">
        <v>106</v>
      </c>
      <c r="E28" s="70" t="s">
        <v>59</v>
      </c>
      <c r="F28" s="78">
        <v>1</v>
      </c>
      <c r="G28" s="77" t="s">
        <v>112</v>
      </c>
    </row>
    <row r="29" spans="1:10" ht="15" customHeight="1" x14ac:dyDescent="0.2">
      <c r="A29" s="74" t="s">
        <v>60</v>
      </c>
      <c r="B29" s="76">
        <v>1</v>
      </c>
      <c r="C29" s="79" t="s">
        <v>112</v>
      </c>
      <c r="D29" s="1" t="s">
        <v>106</v>
      </c>
      <c r="E29" s="74" t="s">
        <v>60</v>
      </c>
      <c r="F29" s="78">
        <v>1</v>
      </c>
      <c r="G29" s="79" t="s">
        <v>112</v>
      </c>
    </row>
    <row r="30" spans="1:10" ht="15" customHeight="1" x14ac:dyDescent="0.2">
      <c r="A30" s="70" t="s">
        <v>61</v>
      </c>
      <c r="B30" s="76">
        <v>1</v>
      </c>
      <c r="C30" s="77" t="s">
        <v>112</v>
      </c>
      <c r="D30" s="1" t="s">
        <v>106</v>
      </c>
      <c r="E30" s="70" t="s">
        <v>61</v>
      </c>
      <c r="F30" s="78">
        <v>1</v>
      </c>
      <c r="G30" s="77" t="s">
        <v>112</v>
      </c>
    </row>
    <row r="31" spans="1:10" ht="15" customHeight="1" x14ac:dyDescent="0.2">
      <c r="A31" s="74" t="s">
        <v>62</v>
      </c>
      <c r="B31" s="76">
        <v>2</v>
      </c>
      <c r="C31" s="79" t="s">
        <v>112</v>
      </c>
      <c r="D31" s="1" t="s">
        <v>106</v>
      </c>
      <c r="E31" s="74" t="s">
        <v>62</v>
      </c>
      <c r="F31" s="78">
        <v>1</v>
      </c>
      <c r="G31" s="79" t="s">
        <v>112</v>
      </c>
    </row>
    <row r="32" spans="1:10" ht="15" customHeight="1" x14ac:dyDescent="0.2">
      <c r="A32" s="70" t="s">
        <v>63</v>
      </c>
      <c r="B32" s="76">
        <v>2</v>
      </c>
      <c r="C32" s="77" t="s">
        <v>112</v>
      </c>
      <c r="D32" s="1" t="s">
        <v>106</v>
      </c>
      <c r="E32" s="70" t="s">
        <v>63</v>
      </c>
      <c r="F32" s="78">
        <v>1</v>
      </c>
      <c r="G32" s="77" t="s">
        <v>112</v>
      </c>
    </row>
    <row r="33" spans="1:7" ht="15" customHeight="1" x14ac:dyDescent="0.2">
      <c r="A33" s="74" t="s">
        <v>64</v>
      </c>
      <c r="B33" s="76">
        <v>2</v>
      </c>
      <c r="C33" s="79" t="s">
        <v>112</v>
      </c>
      <c r="D33" s="1" t="s">
        <v>106</v>
      </c>
      <c r="E33" s="74" t="s">
        <v>64</v>
      </c>
      <c r="F33" s="78">
        <v>1</v>
      </c>
      <c r="G33" s="79" t="s">
        <v>112</v>
      </c>
    </row>
    <row r="34" spans="1:7" ht="15" customHeight="1" x14ac:dyDescent="0.2">
      <c r="A34" s="132" t="s">
        <v>113</v>
      </c>
      <c r="B34" s="132"/>
      <c r="C34" s="132"/>
      <c r="D34" s="132"/>
      <c r="E34" s="132"/>
      <c r="F34" s="132"/>
      <c r="G34" s="132"/>
    </row>
  </sheetData>
  <mergeCells count="7">
    <mergeCell ref="A20:G20"/>
    <mergeCell ref="A34:G34"/>
    <mergeCell ref="A1:J1"/>
    <mergeCell ref="A2:J2"/>
    <mergeCell ref="A4:G4"/>
    <mergeCell ref="A18:G18"/>
    <mergeCell ref="A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00"/>
  <sheetViews>
    <sheetView showGridLines="0" zoomScaleNormal="100" workbookViewId="0">
      <selection activeCell="B16" sqref="B16"/>
    </sheetView>
  </sheetViews>
  <sheetFormatPr baseColWidth="10" defaultColWidth="8.7109375" defaultRowHeight="12.75" x14ac:dyDescent="0.2"/>
  <cols>
    <col min="1" max="1" width="30.140625" customWidth="1"/>
    <col min="2" max="2" width="12.140625" customWidth="1"/>
    <col min="3" max="3" width="10.5703125" customWidth="1"/>
    <col min="4" max="4" width="64.5703125" bestFit="1" customWidth="1"/>
    <col min="6" max="6" width="10.28515625" customWidth="1"/>
    <col min="8" max="8" width="12.140625" customWidth="1"/>
    <col min="10" max="10" width="5.28515625" customWidth="1"/>
    <col min="12" max="12" width="11" customWidth="1"/>
  </cols>
  <sheetData>
    <row r="1" spans="1:52" ht="15" customHeight="1" x14ac:dyDescent="0.2">
      <c r="A1" s="80" t="s">
        <v>114</v>
      </c>
      <c r="B1" s="80" t="s">
        <v>115</v>
      </c>
      <c r="C1" s="80" t="s">
        <v>116</v>
      </c>
      <c r="D1" s="80" t="s">
        <v>117</v>
      </c>
      <c r="E1" s="81"/>
      <c r="F1" s="82" t="s">
        <v>118</v>
      </c>
      <c r="G1" s="81"/>
      <c r="H1" s="83" t="s">
        <v>119</v>
      </c>
      <c r="I1" s="81"/>
      <c r="J1" s="83" t="s">
        <v>120</v>
      </c>
      <c r="K1" s="81"/>
      <c r="L1" s="83" t="s">
        <v>121</v>
      </c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</row>
    <row r="2" spans="1:52" ht="15" customHeight="1" x14ac:dyDescent="0.2">
      <c r="A2" s="84" t="s">
        <v>122</v>
      </c>
      <c r="B2" s="85" t="s">
        <v>5</v>
      </c>
      <c r="C2" s="84"/>
      <c r="D2" s="84" t="s">
        <v>123</v>
      </c>
      <c r="E2" s="81"/>
      <c r="F2" s="86">
        <v>-0.3</v>
      </c>
      <c r="G2" s="81"/>
      <c r="H2" s="83" t="s">
        <v>5</v>
      </c>
      <c r="I2" s="81"/>
      <c r="J2" s="83">
        <v>2025</v>
      </c>
      <c r="K2" s="81"/>
      <c r="L2" s="83" t="s">
        <v>53</v>
      </c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</row>
    <row r="3" spans="1:52" ht="15" customHeight="1" x14ac:dyDescent="0.2">
      <c r="A3" s="84" t="s">
        <v>124</v>
      </c>
      <c r="B3" s="85">
        <v>2026</v>
      </c>
      <c r="C3" s="84"/>
      <c r="D3" s="84" t="s">
        <v>125</v>
      </c>
      <c r="E3" s="81"/>
      <c r="F3" s="86">
        <v>-0.25</v>
      </c>
      <c r="G3" s="81"/>
      <c r="H3" s="83" t="s">
        <v>126</v>
      </c>
      <c r="I3" s="81"/>
      <c r="J3" s="83">
        <v>2026</v>
      </c>
      <c r="K3" s="81"/>
      <c r="L3" s="83" t="s">
        <v>54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</row>
    <row r="4" spans="1:52" ht="15" customHeight="1" x14ac:dyDescent="0.2">
      <c r="A4" s="84" t="s">
        <v>127</v>
      </c>
      <c r="B4" s="85" t="s">
        <v>53</v>
      </c>
      <c r="C4" s="84"/>
      <c r="D4" s="84" t="s">
        <v>128</v>
      </c>
      <c r="E4" s="81"/>
      <c r="F4" s="86">
        <v>-0.2</v>
      </c>
      <c r="G4" s="81"/>
      <c r="H4" s="81"/>
      <c r="I4" s="81"/>
      <c r="J4" s="81"/>
      <c r="K4" s="81"/>
      <c r="L4" s="83" t="s">
        <v>55</v>
      </c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</row>
    <row r="5" spans="1:52" ht="15" customHeight="1" x14ac:dyDescent="0.2">
      <c r="A5" s="84" t="s">
        <v>129</v>
      </c>
      <c r="B5" s="87">
        <v>0</v>
      </c>
      <c r="C5" s="84" t="s">
        <v>130</v>
      </c>
      <c r="D5" s="84" t="s">
        <v>131</v>
      </c>
      <c r="E5" s="81"/>
      <c r="F5" s="86">
        <v>-0.15</v>
      </c>
      <c r="G5" s="81"/>
      <c r="H5" s="81"/>
      <c r="I5" s="81"/>
      <c r="J5" s="81"/>
      <c r="K5" s="81"/>
      <c r="L5" s="83" t="s">
        <v>56</v>
      </c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</row>
    <row r="6" spans="1:52" ht="15" customHeight="1" x14ac:dyDescent="0.2">
      <c r="A6" s="84" t="s">
        <v>132</v>
      </c>
      <c r="B6" s="85">
        <v>330</v>
      </c>
      <c r="C6" s="84" t="s">
        <v>133</v>
      </c>
      <c r="D6" s="84" t="s">
        <v>134</v>
      </c>
      <c r="E6" s="81"/>
      <c r="F6" s="86">
        <v>-0.1</v>
      </c>
      <c r="G6" s="81"/>
      <c r="H6" s="81"/>
      <c r="I6" s="81"/>
      <c r="J6" s="81"/>
      <c r="K6" s="81"/>
      <c r="L6" s="83" t="s">
        <v>57</v>
      </c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</row>
    <row r="7" spans="1:52" ht="15" customHeight="1" x14ac:dyDescent="0.2">
      <c r="A7" s="84" t="s">
        <v>135</v>
      </c>
      <c r="B7" s="85">
        <v>44</v>
      </c>
      <c r="C7" s="84" t="s">
        <v>136</v>
      </c>
      <c r="D7" s="84" t="s">
        <v>137</v>
      </c>
      <c r="E7" s="81"/>
      <c r="F7" s="86">
        <v>-0.05</v>
      </c>
      <c r="G7" s="81"/>
      <c r="H7" s="81"/>
      <c r="I7" s="81"/>
      <c r="J7" s="81"/>
      <c r="K7" s="81"/>
      <c r="L7" s="83" t="s">
        <v>58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</row>
    <row r="8" spans="1:52" ht="15" customHeight="1" x14ac:dyDescent="0.2">
      <c r="A8" s="84" t="s">
        <v>138</v>
      </c>
      <c r="B8" s="85">
        <v>4.5</v>
      </c>
      <c r="C8" s="84" t="s">
        <v>139</v>
      </c>
      <c r="D8" s="84" t="s">
        <v>140</v>
      </c>
      <c r="E8" s="81"/>
      <c r="F8" s="86">
        <v>0</v>
      </c>
      <c r="G8" s="81"/>
      <c r="H8" s="81"/>
      <c r="I8" s="81"/>
      <c r="J8" s="81"/>
      <c r="K8" s="81"/>
      <c r="L8" s="83" t="s">
        <v>59</v>
      </c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</row>
    <row r="9" spans="1:52" ht="15" customHeight="1" x14ac:dyDescent="0.2">
      <c r="A9" s="84" t="s">
        <v>141</v>
      </c>
      <c r="B9" s="85">
        <f>7*25</f>
        <v>175</v>
      </c>
      <c r="C9" s="84" t="s">
        <v>142</v>
      </c>
      <c r="D9" s="84" t="s">
        <v>143</v>
      </c>
      <c r="E9" s="81"/>
      <c r="F9" s="86">
        <v>0.05</v>
      </c>
      <c r="G9" s="81"/>
      <c r="H9" s="81"/>
      <c r="I9" s="81"/>
      <c r="J9" s="81"/>
      <c r="K9" s="81"/>
      <c r="L9" s="83" t="s">
        <v>60</v>
      </c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</row>
    <row r="10" spans="1:52" ht="15" customHeight="1" x14ac:dyDescent="0.2">
      <c r="A10" s="84" t="s">
        <v>144</v>
      </c>
      <c r="B10" s="85">
        <f>6*25</f>
        <v>150</v>
      </c>
      <c r="C10" s="84" t="s">
        <v>145</v>
      </c>
      <c r="D10" s="84" t="s">
        <v>146</v>
      </c>
      <c r="E10" s="81"/>
      <c r="F10" s="86">
        <v>0.1</v>
      </c>
      <c r="G10" s="81"/>
      <c r="H10" s="81"/>
      <c r="I10" s="81"/>
      <c r="J10" s="81"/>
      <c r="K10" s="81"/>
      <c r="L10" s="83" t="s">
        <v>61</v>
      </c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</row>
    <row r="11" spans="1:52" ht="15" customHeight="1" x14ac:dyDescent="0.2">
      <c r="A11" s="84" t="s">
        <v>147</v>
      </c>
      <c r="B11" s="85">
        <v>0.85</v>
      </c>
      <c r="C11" s="84" t="s">
        <v>148</v>
      </c>
      <c r="D11" s="84" t="s">
        <v>149</v>
      </c>
      <c r="E11" s="81"/>
      <c r="F11" s="86">
        <v>0.15</v>
      </c>
      <c r="G11" s="81"/>
      <c r="H11" s="81"/>
      <c r="I11" s="81"/>
      <c r="J11" s="81"/>
      <c r="K11" s="81"/>
      <c r="L11" s="83" t="s">
        <v>62</v>
      </c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</row>
    <row r="12" spans="1:52" ht="15" customHeight="1" x14ac:dyDescent="0.2">
      <c r="A12" s="84" t="s">
        <v>150</v>
      </c>
      <c r="B12" s="85">
        <v>0.95</v>
      </c>
      <c r="C12" s="84" t="s">
        <v>148</v>
      </c>
      <c r="D12" s="84" t="s">
        <v>151</v>
      </c>
      <c r="E12" s="81"/>
      <c r="F12" s="86">
        <v>0.2</v>
      </c>
      <c r="G12" s="81"/>
      <c r="H12" s="81"/>
      <c r="I12" s="81"/>
      <c r="J12" s="81"/>
      <c r="K12" s="81"/>
      <c r="L12" s="83" t="s">
        <v>63</v>
      </c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</row>
    <row r="13" spans="1:52" ht="15" customHeight="1" x14ac:dyDescent="0.2">
      <c r="A13" s="84" t="s">
        <v>152</v>
      </c>
      <c r="B13" s="85">
        <v>1</v>
      </c>
      <c r="C13" s="84" t="s">
        <v>148</v>
      </c>
      <c r="D13" s="84" t="s">
        <v>153</v>
      </c>
      <c r="E13" s="81"/>
      <c r="F13" s="86">
        <v>0.25</v>
      </c>
      <c r="G13" s="81"/>
      <c r="H13" s="81"/>
      <c r="I13" s="81"/>
      <c r="J13" s="81"/>
      <c r="K13" s="81"/>
      <c r="L13" s="83" t="s">
        <v>64</v>
      </c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</row>
    <row r="14" spans="1:52" ht="15" customHeight="1" x14ac:dyDescent="0.2">
      <c r="A14" s="81" t="s">
        <v>154</v>
      </c>
      <c r="B14" s="81">
        <v>7</v>
      </c>
      <c r="C14" s="81" t="s">
        <v>155</v>
      </c>
      <c r="D14" s="81" t="s">
        <v>156</v>
      </c>
      <c r="E14" s="81"/>
      <c r="F14" s="86">
        <v>0.3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</row>
    <row r="15" spans="1:52" ht="15" customHeight="1" x14ac:dyDescent="0.2">
      <c r="A15" s="81" t="s">
        <v>157</v>
      </c>
      <c r="B15" s="81">
        <v>2</v>
      </c>
      <c r="C15" s="81" t="s">
        <v>155</v>
      </c>
      <c r="D15" s="81" t="s">
        <v>158</v>
      </c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</row>
    <row r="16" spans="1:52" ht="15" customHeight="1" x14ac:dyDescent="0.2">
      <c r="A16" s="81" t="s">
        <v>159</v>
      </c>
      <c r="B16" s="81">
        <f>B14-B15</f>
        <v>5</v>
      </c>
      <c r="C16" s="81" t="s">
        <v>155</v>
      </c>
      <c r="D16" s="81" t="s">
        <v>160</v>
      </c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</row>
    <row r="17" spans="1:52" ht="15" customHeight="1" x14ac:dyDescent="0.2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</row>
    <row r="18" spans="1:52" ht="15" customHeight="1" x14ac:dyDescent="0.2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</row>
    <row r="19" spans="1:52" ht="15" customHeight="1" x14ac:dyDescent="0.2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</row>
    <row r="20" spans="1:52" ht="15" customHeight="1" x14ac:dyDescent="0.2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</row>
    <row r="21" spans="1:52" ht="15" customHeight="1" x14ac:dyDescent="0.2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</row>
    <row r="22" spans="1:52" ht="15" customHeight="1" x14ac:dyDescent="0.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</row>
    <row r="23" spans="1:52" ht="15" customHeight="1" x14ac:dyDescent="0.2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</row>
    <row r="24" spans="1:52" ht="15" customHeight="1" x14ac:dyDescent="0.2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</row>
    <row r="25" spans="1:52" ht="15" customHeight="1" x14ac:dyDescent="0.2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</row>
    <row r="26" spans="1:52" ht="15" customHeight="1" x14ac:dyDescent="0.2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</row>
    <row r="27" spans="1:52" ht="15" customHeight="1" x14ac:dyDescent="0.2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</row>
    <row r="28" spans="1:52" ht="15" customHeight="1" x14ac:dyDescent="0.2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</row>
    <row r="29" spans="1:52" ht="15" customHeight="1" x14ac:dyDescent="0.2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</row>
    <row r="30" spans="1:52" ht="15" customHeight="1" x14ac:dyDescent="0.2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</row>
    <row r="31" spans="1:52" ht="15" customHeight="1" x14ac:dyDescent="0.2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</row>
    <row r="32" spans="1:52" ht="15" customHeight="1" x14ac:dyDescent="0.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</row>
    <row r="33" spans="1:52" ht="15" customHeight="1" x14ac:dyDescent="0.2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</row>
    <row r="34" spans="1:52" ht="15" customHeight="1" x14ac:dyDescent="0.2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</row>
    <row r="35" spans="1:52" ht="15" customHeight="1" x14ac:dyDescent="0.2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</row>
    <row r="36" spans="1:52" ht="15" customHeight="1" x14ac:dyDescent="0.2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</row>
    <row r="37" spans="1:52" ht="15" customHeight="1" x14ac:dyDescent="0.2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</row>
    <row r="38" spans="1:52" ht="15" customHeight="1" x14ac:dyDescent="0.2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</row>
    <row r="39" spans="1:52" ht="15" customHeight="1" x14ac:dyDescent="0.2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</row>
    <row r="40" spans="1:52" ht="15" customHeight="1" x14ac:dyDescent="0.2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</row>
    <row r="41" spans="1:52" ht="15" customHeight="1" x14ac:dyDescent="0.2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</row>
    <row r="42" spans="1:52" ht="15" customHeight="1" x14ac:dyDescent="0.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</row>
    <row r="43" spans="1:52" ht="15" customHeight="1" x14ac:dyDescent="0.2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</row>
    <row r="44" spans="1:52" ht="15" customHeight="1" x14ac:dyDescent="0.2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</row>
    <row r="45" spans="1:52" ht="15" customHeight="1" x14ac:dyDescent="0.2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</row>
    <row r="46" spans="1:52" ht="15" customHeight="1" x14ac:dyDescent="0.2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</row>
    <row r="47" spans="1:52" ht="15" customHeight="1" x14ac:dyDescent="0.2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</row>
    <row r="48" spans="1:52" ht="15" customHeight="1" x14ac:dyDescent="0.2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</row>
    <row r="49" spans="1:52" ht="15" customHeight="1" x14ac:dyDescent="0.2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</row>
    <row r="50" spans="1:52" ht="15" customHeight="1" x14ac:dyDescent="0.2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</row>
    <row r="51" spans="1:52" ht="15" customHeight="1" x14ac:dyDescent="0.2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</row>
    <row r="52" spans="1:52" ht="15" customHeight="1" x14ac:dyDescent="0.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</row>
    <row r="53" spans="1:52" ht="15" customHeight="1" x14ac:dyDescent="0.2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</row>
    <row r="54" spans="1:52" ht="15" customHeight="1" x14ac:dyDescent="0.2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</row>
    <row r="55" spans="1:52" ht="15" customHeight="1" x14ac:dyDescent="0.2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</row>
    <row r="56" spans="1:52" ht="15" customHeight="1" x14ac:dyDescent="0.2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</row>
    <row r="57" spans="1:52" ht="15" customHeight="1" x14ac:dyDescent="0.2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</row>
    <row r="58" spans="1:52" ht="15" customHeight="1" x14ac:dyDescent="0.2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</row>
    <row r="59" spans="1:52" ht="15" customHeight="1" x14ac:dyDescent="0.2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</row>
    <row r="60" spans="1:52" ht="15" customHeight="1" x14ac:dyDescent="0.2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</row>
    <row r="61" spans="1:52" ht="15" customHeight="1" x14ac:dyDescent="0.2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</row>
    <row r="62" spans="1:52" ht="15" customHeight="1" x14ac:dyDescent="0.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</row>
    <row r="63" spans="1:52" ht="15" customHeight="1" x14ac:dyDescent="0.2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</row>
    <row r="64" spans="1:52" ht="15" customHeight="1" x14ac:dyDescent="0.2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</row>
    <row r="65" spans="1:52" ht="15" customHeight="1" x14ac:dyDescent="0.2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</row>
    <row r="66" spans="1:52" ht="15" customHeight="1" x14ac:dyDescent="0.2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</row>
    <row r="67" spans="1:52" ht="15" customHeight="1" x14ac:dyDescent="0.2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</row>
    <row r="68" spans="1:52" ht="15" customHeight="1" x14ac:dyDescent="0.2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</row>
    <row r="69" spans="1:52" ht="15" customHeight="1" x14ac:dyDescent="0.2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</row>
    <row r="70" spans="1:52" ht="15" customHeight="1" x14ac:dyDescent="0.2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</row>
    <row r="71" spans="1:52" ht="15" customHeight="1" x14ac:dyDescent="0.2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</row>
    <row r="72" spans="1:52" ht="15" customHeight="1" x14ac:dyDescent="0.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</row>
    <row r="73" spans="1:52" ht="15" customHeight="1" x14ac:dyDescent="0.2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</row>
    <row r="74" spans="1:52" ht="15" customHeight="1" x14ac:dyDescent="0.2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</row>
    <row r="75" spans="1:52" ht="15" customHeight="1" x14ac:dyDescent="0.2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</row>
    <row r="76" spans="1:52" ht="15" customHeight="1" x14ac:dyDescent="0.2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</row>
    <row r="77" spans="1:52" ht="15" customHeight="1" x14ac:dyDescent="0.2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</row>
    <row r="78" spans="1:52" ht="15" customHeight="1" x14ac:dyDescent="0.2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</row>
    <row r="79" spans="1:52" ht="15" customHeight="1" x14ac:dyDescent="0.2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</row>
    <row r="80" spans="1:52" ht="15" customHeight="1" x14ac:dyDescent="0.2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</row>
    <row r="81" spans="1:52" ht="15" customHeight="1" x14ac:dyDescent="0.2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</row>
    <row r="82" spans="1:52" ht="15" customHeight="1" x14ac:dyDescent="0.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</row>
    <row r="83" spans="1:52" ht="15" customHeight="1" x14ac:dyDescent="0.2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</row>
    <row r="84" spans="1:52" ht="15" customHeight="1" x14ac:dyDescent="0.2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</row>
    <row r="85" spans="1:52" ht="15" customHeight="1" x14ac:dyDescent="0.2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</row>
    <row r="86" spans="1:52" ht="15" customHeight="1" x14ac:dyDescent="0.2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</row>
    <row r="87" spans="1:52" ht="15" customHeight="1" x14ac:dyDescent="0.2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</row>
    <row r="88" spans="1:52" ht="15" customHeight="1" x14ac:dyDescent="0.2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</row>
    <row r="89" spans="1:52" ht="15" customHeight="1" x14ac:dyDescent="0.2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</row>
    <row r="90" spans="1:52" ht="15" customHeight="1" x14ac:dyDescent="0.2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</row>
    <row r="91" spans="1:52" ht="15" customHeight="1" x14ac:dyDescent="0.2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</row>
    <row r="92" spans="1:52" ht="15" customHeight="1" x14ac:dyDescent="0.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</row>
    <row r="93" spans="1:52" ht="15" customHeight="1" x14ac:dyDescent="0.2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</row>
    <row r="94" spans="1:52" ht="15" customHeight="1" x14ac:dyDescent="0.2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</row>
    <row r="95" spans="1:52" ht="15" customHeight="1" x14ac:dyDescent="0.2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</row>
    <row r="96" spans="1:52" ht="15" customHeight="1" x14ac:dyDescent="0.2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</row>
    <row r="97" spans="1:52" ht="15" customHeight="1" x14ac:dyDescent="0.2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</row>
    <row r="98" spans="1:52" ht="15" customHeight="1" x14ac:dyDescent="0.2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</row>
    <row r="99" spans="1:52" ht="15" customHeight="1" x14ac:dyDescent="0.2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</row>
    <row r="100" spans="1:52" ht="15" customHeight="1" x14ac:dyDescent="0.2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</row>
    <row r="101" spans="1:52" ht="15" customHeight="1" x14ac:dyDescent="0.2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</row>
    <row r="102" spans="1:52" ht="15" customHeight="1" x14ac:dyDescent="0.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</row>
    <row r="103" spans="1:52" ht="15" customHeight="1" x14ac:dyDescent="0.2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</row>
    <row r="104" spans="1:52" ht="15" customHeight="1" x14ac:dyDescent="0.2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</row>
    <row r="105" spans="1:52" ht="15" customHeight="1" x14ac:dyDescent="0.2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</row>
    <row r="106" spans="1:52" ht="15" customHeight="1" x14ac:dyDescent="0.2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</row>
    <row r="107" spans="1:52" ht="15" customHeight="1" x14ac:dyDescent="0.2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</row>
    <row r="108" spans="1:52" ht="15" customHeight="1" x14ac:dyDescent="0.2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</row>
    <row r="109" spans="1:52" ht="15" customHeight="1" x14ac:dyDescent="0.2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</row>
    <row r="110" spans="1:52" ht="15" customHeight="1" x14ac:dyDescent="0.2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</row>
    <row r="111" spans="1:52" ht="15" customHeight="1" x14ac:dyDescent="0.2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</row>
    <row r="112" spans="1:52" ht="15" customHeight="1" x14ac:dyDescent="0.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</row>
    <row r="113" spans="1:52" ht="15" customHeight="1" x14ac:dyDescent="0.2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</row>
    <row r="114" spans="1:52" ht="15" customHeight="1" x14ac:dyDescent="0.2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</row>
    <row r="115" spans="1:52" ht="15" customHeight="1" x14ac:dyDescent="0.2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</row>
    <row r="116" spans="1:52" ht="15" customHeight="1" x14ac:dyDescent="0.2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</row>
    <row r="117" spans="1:52" ht="15" customHeight="1" x14ac:dyDescent="0.2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</row>
    <row r="118" spans="1:52" ht="15" customHeight="1" x14ac:dyDescent="0.2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</row>
    <row r="119" spans="1:52" ht="15" customHeight="1" x14ac:dyDescent="0.2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</row>
    <row r="120" spans="1:52" ht="15" customHeight="1" x14ac:dyDescent="0.2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</row>
    <row r="121" spans="1:52" ht="15" customHeight="1" x14ac:dyDescent="0.2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</row>
    <row r="122" spans="1:52" ht="15" customHeight="1" x14ac:dyDescent="0.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</row>
    <row r="123" spans="1:52" ht="15" customHeight="1" x14ac:dyDescent="0.2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</row>
    <row r="124" spans="1:52" ht="15" customHeight="1" x14ac:dyDescent="0.2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</row>
    <row r="125" spans="1:52" ht="15" customHeight="1" x14ac:dyDescent="0.2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</row>
    <row r="126" spans="1:52" ht="15" customHeight="1" x14ac:dyDescent="0.2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</row>
    <row r="127" spans="1:52" ht="15" customHeight="1" x14ac:dyDescent="0.2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</row>
    <row r="128" spans="1:52" ht="15" customHeight="1" x14ac:dyDescent="0.2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</row>
    <row r="129" spans="1:52" ht="15" customHeight="1" x14ac:dyDescent="0.2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</row>
    <row r="130" spans="1:52" ht="15" customHeight="1" x14ac:dyDescent="0.2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</row>
    <row r="131" spans="1:52" ht="15" customHeight="1" x14ac:dyDescent="0.2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</row>
    <row r="132" spans="1:52" ht="15" customHeight="1" x14ac:dyDescent="0.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</row>
    <row r="133" spans="1:52" ht="15" customHeight="1" x14ac:dyDescent="0.2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</row>
    <row r="134" spans="1:52" ht="15" customHeight="1" x14ac:dyDescent="0.2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</row>
    <row r="135" spans="1:52" ht="15" customHeight="1" x14ac:dyDescent="0.2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</row>
    <row r="136" spans="1:52" ht="15" customHeight="1" x14ac:dyDescent="0.2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</row>
    <row r="137" spans="1:52" ht="15" customHeight="1" x14ac:dyDescent="0.2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</row>
    <row r="138" spans="1:52" ht="15" customHeight="1" x14ac:dyDescent="0.2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</row>
    <row r="139" spans="1:52" ht="15" customHeight="1" x14ac:dyDescent="0.2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</row>
    <row r="140" spans="1:52" ht="15" customHeight="1" x14ac:dyDescent="0.2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</row>
    <row r="141" spans="1:52" ht="15" customHeight="1" x14ac:dyDescent="0.2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</row>
    <row r="142" spans="1:52" ht="15" customHeight="1" x14ac:dyDescent="0.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</row>
    <row r="143" spans="1:52" ht="15" customHeight="1" x14ac:dyDescent="0.2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</row>
    <row r="144" spans="1:52" ht="15" customHeight="1" x14ac:dyDescent="0.2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</row>
    <row r="145" spans="1:52" ht="15" customHeight="1" x14ac:dyDescent="0.2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</row>
    <row r="146" spans="1:52" ht="15" customHeight="1" x14ac:dyDescent="0.2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</row>
    <row r="147" spans="1:52" ht="15" customHeight="1" x14ac:dyDescent="0.2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</row>
    <row r="148" spans="1:52" ht="15" customHeight="1" x14ac:dyDescent="0.2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</row>
    <row r="149" spans="1:52" ht="15" customHeight="1" x14ac:dyDescent="0.2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</row>
    <row r="150" spans="1:52" ht="15" customHeight="1" x14ac:dyDescent="0.2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</row>
    <row r="151" spans="1:52" ht="15" customHeight="1" x14ac:dyDescent="0.2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</row>
    <row r="152" spans="1:52" ht="15" customHeight="1" x14ac:dyDescent="0.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</row>
    <row r="153" spans="1:52" ht="15" customHeight="1" x14ac:dyDescent="0.2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</row>
    <row r="154" spans="1:52" ht="15" customHeight="1" x14ac:dyDescent="0.2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</row>
    <row r="155" spans="1:52" ht="15" customHeight="1" x14ac:dyDescent="0.2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</row>
    <row r="156" spans="1:52" ht="15" customHeight="1" x14ac:dyDescent="0.2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</row>
    <row r="157" spans="1:52" ht="15" customHeight="1" x14ac:dyDescent="0.2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</row>
    <row r="158" spans="1:52" ht="15" customHeight="1" x14ac:dyDescent="0.2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</row>
    <row r="159" spans="1:52" ht="15" customHeight="1" x14ac:dyDescent="0.2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</row>
    <row r="160" spans="1:52" ht="15" customHeight="1" x14ac:dyDescent="0.2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</row>
    <row r="161" spans="1:52" ht="15" customHeight="1" x14ac:dyDescent="0.2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</row>
    <row r="162" spans="1:52" ht="15" customHeight="1" x14ac:dyDescent="0.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</row>
    <row r="163" spans="1:52" ht="15" customHeight="1" x14ac:dyDescent="0.2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</row>
    <row r="164" spans="1:52" ht="15" customHeight="1" x14ac:dyDescent="0.2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</row>
    <row r="165" spans="1:52" ht="15" customHeight="1" x14ac:dyDescent="0.2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</row>
    <row r="166" spans="1:52" ht="15" customHeight="1" x14ac:dyDescent="0.2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</row>
    <row r="167" spans="1:52" ht="15" customHeight="1" x14ac:dyDescent="0.2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</row>
    <row r="168" spans="1:52" ht="15" customHeight="1" x14ac:dyDescent="0.2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</row>
    <row r="169" spans="1:52" ht="15" customHeight="1" x14ac:dyDescent="0.2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</row>
    <row r="170" spans="1:52" ht="15" customHeight="1" x14ac:dyDescent="0.2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</row>
    <row r="171" spans="1:52" ht="15" customHeight="1" x14ac:dyDescent="0.2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</row>
    <row r="172" spans="1:52" ht="15" customHeight="1" x14ac:dyDescent="0.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</row>
    <row r="173" spans="1:52" ht="15" customHeight="1" x14ac:dyDescent="0.2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</row>
    <row r="174" spans="1:52" ht="15" customHeight="1" x14ac:dyDescent="0.2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</row>
    <row r="175" spans="1:52" ht="15" customHeight="1" x14ac:dyDescent="0.2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</row>
    <row r="176" spans="1:52" ht="15" customHeight="1" x14ac:dyDescent="0.2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</row>
    <row r="177" spans="1:52" ht="15" customHeight="1" x14ac:dyDescent="0.2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</row>
    <row r="178" spans="1:52" ht="15" customHeight="1" x14ac:dyDescent="0.2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</row>
    <row r="179" spans="1:52" ht="15" customHeight="1" x14ac:dyDescent="0.2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</row>
    <row r="180" spans="1:52" ht="15" customHeight="1" x14ac:dyDescent="0.2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</row>
    <row r="181" spans="1:52" ht="15" customHeight="1" x14ac:dyDescent="0.2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</row>
    <row r="182" spans="1:52" ht="15" customHeight="1" x14ac:dyDescent="0.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</row>
    <row r="183" spans="1:52" ht="15" customHeight="1" x14ac:dyDescent="0.2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</row>
    <row r="184" spans="1:52" ht="15" customHeight="1" x14ac:dyDescent="0.2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</row>
    <row r="185" spans="1:52" ht="15" customHeight="1" x14ac:dyDescent="0.2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</row>
    <row r="186" spans="1:52" ht="15" customHeight="1" x14ac:dyDescent="0.2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</row>
    <row r="187" spans="1:52" ht="15" customHeight="1" x14ac:dyDescent="0.2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</row>
    <row r="188" spans="1:52" ht="15" customHeight="1" x14ac:dyDescent="0.2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</row>
    <row r="189" spans="1:52" ht="15" customHeight="1" x14ac:dyDescent="0.2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</row>
    <row r="190" spans="1:52" ht="15" customHeight="1" x14ac:dyDescent="0.2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</row>
    <row r="191" spans="1:52" ht="15" customHeight="1" x14ac:dyDescent="0.2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</row>
    <row r="192" spans="1:52" ht="15" customHeight="1" x14ac:dyDescent="0.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</row>
    <row r="193" spans="1:52" ht="15" customHeight="1" x14ac:dyDescent="0.2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</row>
    <row r="194" spans="1:52" ht="15" customHeight="1" x14ac:dyDescent="0.2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</row>
    <row r="195" spans="1:52" ht="15" customHeight="1" x14ac:dyDescent="0.2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</row>
    <row r="196" spans="1:52" ht="15" customHeight="1" x14ac:dyDescent="0.2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</row>
    <row r="197" spans="1:52" ht="15" customHeight="1" x14ac:dyDescent="0.2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</row>
    <row r="198" spans="1:52" ht="15" customHeight="1" x14ac:dyDescent="0.2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</row>
    <row r="199" spans="1:52" ht="15" customHeight="1" x14ac:dyDescent="0.2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</row>
    <row r="200" spans="1:52" ht="15" customHeight="1" x14ac:dyDescent="0.2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00"/>
  <sheetViews>
    <sheetView showGridLines="0" zoomScaleNormal="100" workbookViewId="0">
      <selection activeCell="L14" sqref="L14"/>
    </sheetView>
  </sheetViews>
  <sheetFormatPr baseColWidth="10" defaultColWidth="8.7109375" defaultRowHeight="12.75" x14ac:dyDescent="0.2"/>
  <cols>
    <col min="1" max="1" width="11.42578125" customWidth="1"/>
    <col min="2" max="2" width="5" customWidth="1"/>
    <col min="3" max="3" width="8" customWidth="1"/>
    <col min="4" max="4" width="10.140625" customWidth="1"/>
    <col min="5" max="5" width="11.140625" customWidth="1"/>
    <col min="6" max="6" width="7.85546875" customWidth="1"/>
    <col min="7" max="7" width="11.5703125" customWidth="1"/>
    <col min="8" max="26" width="18" customWidth="1"/>
  </cols>
  <sheetData>
    <row r="1" spans="1:52" ht="15" customHeight="1" x14ac:dyDescent="0.2">
      <c r="A1" s="88" t="s">
        <v>161</v>
      </c>
      <c r="B1" s="88" t="s">
        <v>162</v>
      </c>
      <c r="C1" s="88" t="s">
        <v>163</v>
      </c>
      <c r="D1" s="88" t="s">
        <v>164</v>
      </c>
      <c r="E1" s="88" t="s">
        <v>165</v>
      </c>
      <c r="F1" s="88" t="s">
        <v>166</v>
      </c>
      <c r="G1" s="88" t="s">
        <v>167</v>
      </c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</row>
    <row r="2" spans="1:52" ht="15" customHeight="1" x14ac:dyDescent="0.2">
      <c r="A2" s="81" t="s">
        <v>5</v>
      </c>
      <c r="B2" s="81">
        <v>2025</v>
      </c>
      <c r="C2" s="81">
        <v>1</v>
      </c>
      <c r="D2" s="81" t="s">
        <v>53</v>
      </c>
      <c r="E2" s="89">
        <v>287440</v>
      </c>
      <c r="F2" s="89">
        <v>25909</v>
      </c>
      <c r="G2" s="89">
        <v>2726</v>
      </c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</row>
    <row r="3" spans="1:52" ht="15" customHeight="1" x14ac:dyDescent="0.2">
      <c r="A3" s="81" t="s">
        <v>5</v>
      </c>
      <c r="B3" s="81">
        <v>2025</v>
      </c>
      <c r="C3" s="81">
        <v>2</v>
      </c>
      <c r="D3" s="81" t="s">
        <v>54</v>
      </c>
      <c r="E3" s="89">
        <v>193652</v>
      </c>
      <c r="F3" s="89">
        <v>16628</v>
      </c>
      <c r="G3" s="89">
        <v>1853</v>
      </c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</row>
    <row r="4" spans="1:52" ht="15" customHeight="1" x14ac:dyDescent="0.2">
      <c r="A4" s="81" t="s">
        <v>5</v>
      </c>
      <c r="B4" s="81">
        <v>2025</v>
      </c>
      <c r="C4" s="81">
        <v>3</v>
      </c>
      <c r="D4" s="81" t="s">
        <v>55</v>
      </c>
      <c r="E4" s="89">
        <v>59793</v>
      </c>
      <c r="F4" s="89">
        <v>5508</v>
      </c>
      <c r="G4" s="89">
        <v>628</v>
      </c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</row>
    <row r="5" spans="1:52" ht="15" customHeight="1" x14ac:dyDescent="0.2">
      <c r="A5" s="81" t="s">
        <v>5</v>
      </c>
      <c r="B5" s="81">
        <v>2025</v>
      </c>
      <c r="C5" s="81">
        <v>4</v>
      </c>
      <c r="D5" s="81" t="s">
        <v>56</v>
      </c>
      <c r="E5" s="89">
        <v>39969</v>
      </c>
      <c r="F5" s="89">
        <v>3733</v>
      </c>
      <c r="G5" s="89">
        <v>426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</row>
    <row r="6" spans="1:52" ht="15" customHeight="1" x14ac:dyDescent="0.2">
      <c r="A6" s="81" t="s">
        <v>5</v>
      </c>
      <c r="B6" s="81">
        <v>2025</v>
      </c>
      <c r="C6" s="81">
        <v>5</v>
      </c>
      <c r="D6" s="81" t="s">
        <v>57</v>
      </c>
      <c r="E6" s="89">
        <v>34697</v>
      </c>
      <c r="F6" s="89">
        <v>3603</v>
      </c>
      <c r="G6" s="89">
        <v>401</v>
      </c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</row>
    <row r="7" spans="1:52" ht="15" customHeight="1" x14ac:dyDescent="0.2">
      <c r="A7" s="81" t="s">
        <v>5</v>
      </c>
      <c r="B7" s="81">
        <v>2025</v>
      </c>
      <c r="C7" s="81">
        <v>6</v>
      </c>
      <c r="D7" s="81" t="s">
        <v>58</v>
      </c>
      <c r="E7" s="89">
        <v>30400</v>
      </c>
      <c r="F7" s="89">
        <v>2984</v>
      </c>
      <c r="G7" s="89">
        <v>321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</row>
    <row r="8" spans="1:52" ht="15" customHeight="1" x14ac:dyDescent="0.2">
      <c r="A8" s="81" t="s">
        <v>5</v>
      </c>
      <c r="B8" s="81">
        <v>2025</v>
      </c>
      <c r="C8" s="81">
        <v>7</v>
      </c>
      <c r="D8" s="81" t="s">
        <v>59</v>
      </c>
      <c r="E8" s="89">
        <v>39209</v>
      </c>
      <c r="F8" s="89">
        <v>3858</v>
      </c>
      <c r="G8" s="89">
        <v>417</v>
      </c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</row>
    <row r="9" spans="1:52" ht="15" customHeight="1" x14ac:dyDescent="0.2">
      <c r="A9" s="81" t="s">
        <v>5</v>
      </c>
      <c r="B9" s="81">
        <v>2025</v>
      </c>
      <c r="C9" s="81">
        <v>8</v>
      </c>
      <c r="D9" s="81" t="s">
        <v>60</v>
      </c>
      <c r="E9" s="89">
        <v>40289</v>
      </c>
      <c r="F9" s="89">
        <v>4028</v>
      </c>
      <c r="G9" s="89">
        <v>448</v>
      </c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</row>
    <row r="10" spans="1:52" ht="15" customHeight="1" x14ac:dyDescent="0.2">
      <c r="A10" s="81" t="s">
        <v>5</v>
      </c>
      <c r="B10" s="81">
        <v>2025</v>
      </c>
      <c r="C10" s="81">
        <v>9</v>
      </c>
      <c r="D10" s="81" t="s">
        <v>61</v>
      </c>
      <c r="E10" s="89">
        <v>23148</v>
      </c>
      <c r="F10" s="89">
        <v>2117</v>
      </c>
      <c r="G10" s="89">
        <v>236</v>
      </c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</row>
    <row r="11" spans="1:52" ht="15" customHeight="1" x14ac:dyDescent="0.2">
      <c r="A11" s="81" t="s">
        <v>5</v>
      </c>
      <c r="B11" s="81">
        <v>2025</v>
      </c>
      <c r="C11" s="81">
        <v>10</v>
      </c>
      <c r="D11" s="81" t="s">
        <v>62</v>
      </c>
      <c r="E11" s="89">
        <v>47723</v>
      </c>
      <c r="F11" s="89">
        <v>4748</v>
      </c>
      <c r="G11" s="89">
        <v>544</v>
      </c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</row>
    <row r="12" spans="1:52" ht="15" customHeight="1" x14ac:dyDescent="0.2">
      <c r="A12" s="81" t="s">
        <v>5</v>
      </c>
      <c r="B12" s="81">
        <v>2025</v>
      </c>
      <c r="C12" s="81">
        <v>11</v>
      </c>
      <c r="D12" s="81" t="s">
        <v>63</v>
      </c>
      <c r="E12" s="89">
        <v>71645</v>
      </c>
      <c r="F12" s="89">
        <v>6687</v>
      </c>
      <c r="G12" s="89">
        <v>746</v>
      </c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</row>
    <row r="13" spans="1:52" ht="15" customHeight="1" x14ac:dyDescent="0.2">
      <c r="A13" s="81" t="s">
        <v>5</v>
      </c>
      <c r="B13" s="81">
        <v>2025</v>
      </c>
      <c r="C13" s="81">
        <v>12</v>
      </c>
      <c r="D13" s="81" t="s">
        <v>64</v>
      </c>
      <c r="E13" s="89">
        <v>126769</v>
      </c>
      <c r="F13" s="89">
        <v>12060</v>
      </c>
      <c r="G13" s="89">
        <v>1333</v>
      </c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</row>
    <row r="14" spans="1:52" ht="15" customHeight="1" x14ac:dyDescent="0.2">
      <c r="A14" s="81" t="s">
        <v>5</v>
      </c>
      <c r="B14" s="81">
        <v>2026</v>
      </c>
      <c r="C14" s="81">
        <v>1</v>
      </c>
      <c r="D14" s="81" t="s">
        <v>53</v>
      </c>
      <c r="E14" s="89">
        <v>252960</v>
      </c>
      <c r="F14" s="89">
        <v>22766</v>
      </c>
      <c r="G14" s="89">
        <v>2435</v>
      </c>
      <c r="H14" s="81"/>
      <c r="I14" s="81">
        <f>252000*0.8</f>
        <v>201600</v>
      </c>
      <c r="J14" s="81">
        <f>+I14/26</f>
        <v>7753.8461538461543</v>
      </c>
      <c r="K14" s="81">
        <f>+J14/5</f>
        <v>1550.7692307692309</v>
      </c>
      <c r="L14" s="81">
        <f>+K14/330</f>
        <v>4.6993006993007</v>
      </c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</row>
    <row r="15" spans="1:52" ht="15" customHeight="1" x14ac:dyDescent="0.2">
      <c r="A15" s="81" t="s">
        <v>5</v>
      </c>
      <c r="B15" s="81">
        <v>2026</v>
      </c>
      <c r="C15" s="81">
        <v>2</v>
      </c>
      <c r="D15" s="81" t="s">
        <v>54</v>
      </c>
      <c r="E15" s="89">
        <v>177249</v>
      </c>
      <c r="F15" s="89">
        <v>15895</v>
      </c>
      <c r="G15" s="89">
        <v>1707</v>
      </c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</row>
    <row r="16" spans="1:52" ht="15" customHeight="1" x14ac:dyDescent="0.2">
      <c r="A16" s="81" t="s">
        <v>5</v>
      </c>
      <c r="B16" s="81">
        <v>2026</v>
      </c>
      <c r="C16" s="81">
        <v>3</v>
      </c>
      <c r="D16" s="81" t="s">
        <v>55</v>
      </c>
      <c r="E16" s="89">
        <v>54213</v>
      </c>
      <c r="F16" s="89">
        <v>5113</v>
      </c>
      <c r="G16" s="89">
        <v>574</v>
      </c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</row>
    <row r="17" spans="1:52" ht="15" customHeight="1" x14ac:dyDescent="0.2">
      <c r="A17" s="81" t="s">
        <v>5</v>
      </c>
      <c r="B17" s="81">
        <v>2026</v>
      </c>
      <c r="C17" s="81">
        <v>4</v>
      </c>
      <c r="D17" s="81" t="s">
        <v>56</v>
      </c>
      <c r="E17" s="89">
        <v>30159</v>
      </c>
      <c r="F17" s="89">
        <v>2922</v>
      </c>
      <c r="G17" s="89">
        <v>337</v>
      </c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</row>
    <row r="18" spans="1:52" ht="15" customHeight="1" x14ac:dyDescent="0.2">
      <c r="A18" s="81" t="s">
        <v>5</v>
      </c>
      <c r="B18" s="81">
        <v>2026</v>
      </c>
      <c r="C18" s="81">
        <v>5</v>
      </c>
      <c r="D18" s="81" t="s">
        <v>57</v>
      </c>
      <c r="E18" s="89">
        <v>23491</v>
      </c>
      <c r="F18" s="89">
        <v>2359</v>
      </c>
      <c r="G18" s="89">
        <v>269</v>
      </c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</row>
    <row r="19" spans="1:52" ht="15" customHeight="1" x14ac:dyDescent="0.2">
      <c r="A19" s="81" t="s">
        <v>5</v>
      </c>
      <c r="B19" s="81">
        <v>2026</v>
      </c>
      <c r="C19" s="81">
        <v>6</v>
      </c>
      <c r="D19" s="81" t="s">
        <v>58</v>
      </c>
      <c r="E19" s="89"/>
      <c r="F19" s="89"/>
      <c r="G19" s="89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</row>
    <row r="20" spans="1:52" ht="15" customHeight="1" x14ac:dyDescent="0.2">
      <c r="A20" s="81" t="s">
        <v>5</v>
      </c>
      <c r="B20" s="81">
        <v>2026</v>
      </c>
      <c r="C20" s="81">
        <v>7</v>
      </c>
      <c r="D20" s="81" t="s">
        <v>59</v>
      </c>
      <c r="E20" s="89"/>
      <c r="F20" s="89"/>
      <c r="G20" s="89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</row>
    <row r="21" spans="1:52" ht="15" customHeight="1" x14ac:dyDescent="0.2">
      <c r="A21" s="81" t="s">
        <v>5</v>
      </c>
      <c r="B21" s="81">
        <v>2026</v>
      </c>
      <c r="C21" s="81">
        <v>8</v>
      </c>
      <c r="D21" s="81" t="s">
        <v>60</v>
      </c>
      <c r="E21" s="89"/>
      <c r="F21" s="89"/>
      <c r="G21" s="89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</row>
    <row r="22" spans="1:52" ht="15" customHeight="1" x14ac:dyDescent="0.2">
      <c r="A22" s="81" t="s">
        <v>5</v>
      </c>
      <c r="B22" s="81">
        <v>2026</v>
      </c>
      <c r="C22" s="81">
        <v>9</v>
      </c>
      <c r="D22" s="81" t="s">
        <v>61</v>
      </c>
      <c r="E22" s="89"/>
      <c r="F22" s="89"/>
      <c r="G22" s="89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</row>
    <row r="23" spans="1:52" ht="15" customHeight="1" x14ac:dyDescent="0.2">
      <c r="A23" s="81" t="s">
        <v>5</v>
      </c>
      <c r="B23" s="81">
        <v>2026</v>
      </c>
      <c r="C23" s="81">
        <v>10</v>
      </c>
      <c r="D23" s="81" t="s">
        <v>62</v>
      </c>
      <c r="E23" s="89"/>
      <c r="F23" s="89"/>
      <c r="G23" s="89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</row>
    <row r="24" spans="1:52" ht="15" customHeight="1" x14ac:dyDescent="0.2">
      <c r="A24" s="81" t="s">
        <v>5</v>
      </c>
      <c r="B24" s="81">
        <v>2026</v>
      </c>
      <c r="C24" s="81">
        <v>11</v>
      </c>
      <c r="D24" s="81" t="s">
        <v>63</v>
      </c>
      <c r="E24" s="89"/>
      <c r="F24" s="89"/>
      <c r="G24" s="89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</row>
    <row r="25" spans="1:52" ht="15" customHeight="1" x14ac:dyDescent="0.2">
      <c r="A25" s="81" t="s">
        <v>5</v>
      </c>
      <c r="B25" s="81">
        <v>2026</v>
      </c>
      <c r="C25" s="81">
        <v>12</v>
      </c>
      <c r="D25" s="81" t="s">
        <v>64</v>
      </c>
      <c r="E25" s="89"/>
      <c r="F25" s="89"/>
      <c r="G25" s="89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</row>
    <row r="26" spans="1:52" ht="15" customHeight="1" x14ac:dyDescent="0.2">
      <c r="A26" s="81" t="s">
        <v>126</v>
      </c>
      <c r="B26" s="81">
        <v>2025</v>
      </c>
      <c r="C26" s="81">
        <v>1</v>
      </c>
      <c r="D26" s="81" t="s">
        <v>53</v>
      </c>
      <c r="E26" s="89">
        <v>42230</v>
      </c>
      <c r="F26" s="89">
        <v>3700</v>
      </c>
      <c r="G26" s="89">
        <v>396</v>
      </c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</row>
    <row r="27" spans="1:52" ht="15" customHeight="1" x14ac:dyDescent="0.2">
      <c r="A27" s="81" t="s">
        <v>126</v>
      </c>
      <c r="B27" s="81">
        <v>2025</v>
      </c>
      <c r="C27" s="81">
        <v>2</v>
      </c>
      <c r="D27" s="81" t="s">
        <v>54</v>
      </c>
      <c r="E27" s="89">
        <v>35955</v>
      </c>
      <c r="F27" s="89">
        <v>3068</v>
      </c>
      <c r="G27" s="89">
        <v>338</v>
      </c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</row>
    <row r="28" spans="1:52" ht="15" customHeight="1" x14ac:dyDescent="0.2">
      <c r="A28" s="81" t="s">
        <v>126</v>
      </c>
      <c r="B28" s="81">
        <v>2025</v>
      </c>
      <c r="C28" s="81">
        <v>3</v>
      </c>
      <c r="D28" s="81" t="s">
        <v>55</v>
      </c>
      <c r="E28" s="89">
        <v>26082</v>
      </c>
      <c r="F28" s="89">
        <v>2490</v>
      </c>
      <c r="G28" s="89">
        <v>277</v>
      </c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</row>
    <row r="29" spans="1:52" ht="15" customHeight="1" x14ac:dyDescent="0.2">
      <c r="A29" s="81" t="s">
        <v>126</v>
      </c>
      <c r="B29" s="81">
        <v>2025</v>
      </c>
      <c r="C29" s="81">
        <v>4</v>
      </c>
      <c r="D29" s="81" t="s">
        <v>56</v>
      </c>
      <c r="E29" s="89">
        <v>23558</v>
      </c>
      <c r="F29" s="89">
        <v>2263</v>
      </c>
      <c r="G29" s="89">
        <v>247</v>
      </c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</row>
    <row r="30" spans="1:52" ht="15" customHeight="1" x14ac:dyDescent="0.2">
      <c r="A30" s="81" t="s">
        <v>126</v>
      </c>
      <c r="B30" s="81">
        <v>2025</v>
      </c>
      <c r="C30" s="81">
        <v>5</v>
      </c>
      <c r="D30" s="81" t="s">
        <v>57</v>
      </c>
      <c r="E30" s="89">
        <v>22146</v>
      </c>
      <c r="F30" s="89">
        <v>2166</v>
      </c>
      <c r="G30" s="89">
        <v>229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</row>
    <row r="31" spans="1:52" ht="15" customHeight="1" x14ac:dyDescent="0.2">
      <c r="A31" s="81" t="s">
        <v>126</v>
      </c>
      <c r="B31" s="81">
        <v>2025</v>
      </c>
      <c r="C31" s="81">
        <v>6</v>
      </c>
      <c r="D31" s="81" t="s">
        <v>58</v>
      </c>
      <c r="E31" s="89">
        <v>16683</v>
      </c>
      <c r="F31" s="89">
        <v>1606</v>
      </c>
      <c r="G31" s="89">
        <v>172</v>
      </c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</row>
    <row r="32" spans="1:52" ht="15" customHeight="1" x14ac:dyDescent="0.2">
      <c r="A32" s="81" t="s">
        <v>126</v>
      </c>
      <c r="B32" s="81">
        <v>2025</v>
      </c>
      <c r="C32" s="81">
        <v>7</v>
      </c>
      <c r="D32" s="81" t="s">
        <v>59</v>
      </c>
      <c r="E32" s="89">
        <v>21228</v>
      </c>
      <c r="F32" s="89">
        <v>1978</v>
      </c>
      <c r="G32" s="89">
        <v>208</v>
      </c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</row>
    <row r="33" spans="1:52" ht="15" customHeight="1" x14ac:dyDescent="0.2">
      <c r="A33" s="81" t="s">
        <v>126</v>
      </c>
      <c r="B33" s="81">
        <v>2025</v>
      </c>
      <c r="C33" s="81">
        <v>8</v>
      </c>
      <c r="D33" s="81" t="s">
        <v>60</v>
      </c>
      <c r="E33" s="89">
        <v>21998</v>
      </c>
      <c r="F33" s="89">
        <v>2062</v>
      </c>
      <c r="G33" s="89">
        <v>234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</row>
    <row r="34" spans="1:52" ht="15" customHeight="1" x14ac:dyDescent="0.2">
      <c r="A34" s="81" t="s">
        <v>126</v>
      </c>
      <c r="B34" s="81">
        <v>2025</v>
      </c>
      <c r="C34" s="81">
        <v>9</v>
      </c>
      <c r="D34" s="81" t="s">
        <v>61</v>
      </c>
      <c r="E34" s="89">
        <v>23148</v>
      </c>
      <c r="F34" s="89">
        <v>2117</v>
      </c>
      <c r="G34" s="89">
        <v>236</v>
      </c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</row>
    <row r="35" spans="1:52" ht="15" customHeight="1" x14ac:dyDescent="0.2">
      <c r="A35" s="81" t="s">
        <v>126</v>
      </c>
      <c r="B35" s="81">
        <v>2025</v>
      </c>
      <c r="C35" s="81">
        <v>10</v>
      </c>
      <c r="D35" s="81" t="s">
        <v>62</v>
      </c>
      <c r="E35" s="89">
        <v>26985</v>
      </c>
      <c r="F35" s="89">
        <v>2523</v>
      </c>
      <c r="G35" s="89">
        <v>281</v>
      </c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</row>
    <row r="36" spans="1:52" ht="15" customHeight="1" x14ac:dyDescent="0.2">
      <c r="A36" s="81" t="s">
        <v>126</v>
      </c>
      <c r="B36" s="81">
        <v>2025</v>
      </c>
      <c r="C36" s="81">
        <v>11</v>
      </c>
      <c r="D36" s="81" t="s">
        <v>63</v>
      </c>
      <c r="E36" s="89">
        <v>27054</v>
      </c>
      <c r="F36" s="89">
        <v>2417</v>
      </c>
      <c r="G36" s="89">
        <v>273</v>
      </c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</row>
    <row r="37" spans="1:52" ht="15" customHeight="1" x14ac:dyDescent="0.2">
      <c r="A37" s="81" t="s">
        <v>126</v>
      </c>
      <c r="B37" s="81">
        <v>2025</v>
      </c>
      <c r="C37" s="81">
        <v>12</v>
      </c>
      <c r="D37" s="81" t="s">
        <v>64</v>
      </c>
      <c r="E37" s="89">
        <v>39767</v>
      </c>
      <c r="F37" s="89">
        <v>3704</v>
      </c>
      <c r="G37" s="89">
        <v>424</v>
      </c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</row>
    <row r="38" spans="1:52" ht="15" customHeight="1" x14ac:dyDescent="0.2">
      <c r="A38" s="81" t="s">
        <v>126</v>
      </c>
      <c r="B38" s="81">
        <v>2026</v>
      </c>
      <c r="C38" s="81">
        <v>1</v>
      </c>
      <c r="D38" s="81" t="s">
        <v>53</v>
      </c>
      <c r="E38" s="89">
        <v>43054</v>
      </c>
      <c r="F38" s="89">
        <v>3823</v>
      </c>
      <c r="G38" s="89">
        <v>413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</row>
    <row r="39" spans="1:52" ht="15" customHeight="1" x14ac:dyDescent="0.2">
      <c r="A39" s="81" t="s">
        <v>126</v>
      </c>
      <c r="B39" s="81">
        <v>2026</v>
      </c>
      <c r="C39" s="81">
        <v>2</v>
      </c>
      <c r="D39" s="81" t="s">
        <v>54</v>
      </c>
      <c r="E39" s="89">
        <v>33897</v>
      </c>
      <c r="F39" s="89">
        <v>3042</v>
      </c>
      <c r="G39" s="89">
        <v>334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</row>
    <row r="40" spans="1:52" ht="15" customHeight="1" x14ac:dyDescent="0.2">
      <c r="A40" s="81" t="s">
        <v>126</v>
      </c>
      <c r="B40" s="81">
        <v>2026</v>
      </c>
      <c r="C40" s="81">
        <v>3</v>
      </c>
      <c r="D40" s="81" t="s">
        <v>55</v>
      </c>
      <c r="E40" s="89">
        <v>29102</v>
      </c>
      <c r="F40" s="89">
        <v>2663</v>
      </c>
      <c r="G40" s="89">
        <v>297</v>
      </c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</row>
    <row r="41" spans="1:52" ht="15" customHeight="1" x14ac:dyDescent="0.2">
      <c r="A41" s="81" t="s">
        <v>126</v>
      </c>
      <c r="B41" s="81">
        <v>2026</v>
      </c>
      <c r="C41" s="81">
        <v>4</v>
      </c>
      <c r="D41" s="81" t="s">
        <v>56</v>
      </c>
      <c r="E41" s="89">
        <v>21735</v>
      </c>
      <c r="F41" s="89">
        <v>2115</v>
      </c>
      <c r="G41" s="89">
        <v>232</v>
      </c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</row>
    <row r="42" spans="1:52" ht="15" customHeight="1" x14ac:dyDescent="0.2">
      <c r="A42" s="81" t="s">
        <v>126</v>
      </c>
      <c r="B42" s="81">
        <v>2026</v>
      </c>
      <c r="C42" s="81">
        <v>5</v>
      </c>
      <c r="D42" s="81" t="s">
        <v>57</v>
      </c>
      <c r="E42" s="89">
        <v>21654</v>
      </c>
      <c r="F42" s="89">
        <v>2109</v>
      </c>
      <c r="G42" s="89">
        <v>224</v>
      </c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</row>
    <row r="43" spans="1:52" ht="15" customHeight="1" x14ac:dyDescent="0.2">
      <c r="A43" s="81" t="s">
        <v>126</v>
      </c>
      <c r="B43" s="81">
        <v>2026</v>
      </c>
      <c r="C43" s="81">
        <v>6</v>
      </c>
      <c r="D43" s="81" t="s">
        <v>58</v>
      </c>
      <c r="E43" s="89"/>
      <c r="F43" s="89"/>
      <c r="G43" s="89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</row>
    <row r="44" spans="1:52" ht="15" customHeight="1" x14ac:dyDescent="0.2">
      <c r="A44" s="81" t="s">
        <v>126</v>
      </c>
      <c r="B44" s="81">
        <v>2026</v>
      </c>
      <c r="C44" s="81">
        <v>7</v>
      </c>
      <c r="D44" s="81" t="s">
        <v>59</v>
      </c>
      <c r="E44" s="89"/>
      <c r="F44" s="89"/>
      <c r="G44" s="89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</row>
    <row r="45" spans="1:52" ht="15" customHeight="1" x14ac:dyDescent="0.2">
      <c r="A45" s="81" t="s">
        <v>126</v>
      </c>
      <c r="B45" s="81">
        <v>2026</v>
      </c>
      <c r="C45" s="81">
        <v>8</v>
      </c>
      <c r="D45" s="81" t="s">
        <v>60</v>
      </c>
      <c r="E45" s="89"/>
      <c r="F45" s="89"/>
      <c r="G45" s="89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</row>
    <row r="46" spans="1:52" ht="15" customHeight="1" x14ac:dyDescent="0.2">
      <c r="A46" s="81" t="s">
        <v>126</v>
      </c>
      <c r="B46" s="81">
        <v>2026</v>
      </c>
      <c r="C46" s="81">
        <v>9</v>
      </c>
      <c r="D46" s="81" t="s">
        <v>61</v>
      </c>
      <c r="E46" s="89"/>
      <c r="F46" s="89"/>
      <c r="G46" s="89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</row>
    <row r="47" spans="1:52" ht="15" customHeight="1" x14ac:dyDescent="0.2">
      <c r="A47" s="81" t="s">
        <v>126</v>
      </c>
      <c r="B47" s="81">
        <v>2026</v>
      </c>
      <c r="C47" s="81">
        <v>10</v>
      </c>
      <c r="D47" s="81" t="s">
        <v>62</v>
      </c>
      <c r="E47" s="89"/>
      <c r="F47" s="89"/>
      <c r="G47" s="89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</row>
    <row r="48" spans="1:52" ht="15" customHeight="1" x14ac:dyDescent="0.2">
      <c r="A48" s="81" t="s">
        <v>126</v>
      </c>
      <c r="B48" s="81">
        <v>2026</v>
      </c>
      <c r="C48" s="81">
        <v>11</v>
      </c>
      <c r="D48" s="81" t="s">
        <v>63</v>
      </c>
      <c r="E48" s="89"/>
      <c r="F48" s="89"/>
      <c r="G48" s="89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</row>
    <row r="49" spans="1:52" ht="15" customHeight="1" x14ac:dyDescent="0.2">
      <c r="A49" s="81" t="s">
        <v>126</v>
      </c>
      <c r="B49" s="81">
        <v>2026</v>
      </c>
      <c r="C49" s="81">
        <v>12</v>
      </c>
      <c r="D49" s="81" t="s">
        <v>64</v>
      </c>
      <c r="E49" s="89"/>
      <c r="F49" s="89"/>
      <c r="G49" s="89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</row>
    <row r="50" spans="1:52" ht="15" customHeight="1" x14ac:dyDescent="0.2">
      <c r="A50" s="81"/>
      <c r="B50" s="81"/>
      <c r="C50" s="81"/>
      <c r="D50" s="81"/>
      <c r="E50" s="89"/>
      <c r="F50" s="89"/>
      <c r="G50" s="89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</row>
    <row r="51" spans="1:52" ht="15" customHeight="1" x14ac:dyDescent="0.2">
      <c r="A51" s="81"/>
      <c r="B51" s="81"/>
      <c r="C51" s="81"/>
      <c r="D51" s="81"/>
      <c r="E51" s="89"/>
      <c r="F51" s="89"/>
      <c r="G51" s="89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</row>
    <row r="52" spans="1:52" ht="15" customHeight="1" x14ac:dyDescent="0.2">
      <c r="A52" s="81"/>
      <c r="B52" s="81"/>
      <c r="C52" s="81"/>
      <c r="D52" s="81"/>
      <c r="E52" s="89"/>
      <c r="F52" s="89"/>
      <c r="G52" s="89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</row>
    <row r="53" spans="1:52" ht="15" customHeight="1" x14ac:dyDescent="0.2">
      <c r="A53" s="81"/>
      <c r="B53" s="81"/>
      <c r="C53" s="81"/>
      <c r="D53" s="81"/>
      <c r="E53" s="89"/>
      <c r="F53" s="89"/>
      <c r="G53" s="89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</row>
    <row r="54" spans="1:52" ht="15" customHeight="1" x14ac:dyDescent="0.2">
      <c r="A54" s="81"/>
      <c r="B54" s="81"/>
      <c r="C54" s="81"/>
      <c r="D54" s="81"/>
      <c r="E54" s="89"/>
      <c r="F54" s="89"/>
      <c r="G54" s="89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</row>
    <row r="55" spans="1:52" ht="15" customHeight="1" x14ac:dyDescent="0.2">
      <c r="A55" s="81"/>
      <c r="B55" s="81"/>
      <c r="C55" s="81"/>
      <c r="D55" s="81"/>
      <c r="E55" s="89"/>
      <c r="F55" s="89"/>
      <c r="G55" s="89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</row>
    <row r="56" spans="1:52" ht="15" customHeight="1" x14ac:dyDescent="0.2">
      <c r="A56" s="81"/>
      <c r="B56" s="81"/>
      <c r="C56" s="81"/>
      <c r="D56" s="81"/>
      <c r="E56" s="89"/>
      <c r="F56" s="89"/>
      <c r="G56" s="89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</row>
    <row r="57" spans="1:52" ht="15" customHeight="1" x14ac:dyDescent="0.2">
      <c r="A57" s="81"/>
      <c r="B57" s="81"/>
      <c r="C57" s="81"/>
      <c r="D57" s="81"/>
      <c r="E57" s="89"/>
      <c r="F57" s="89"/>
      <c r="G57" s="89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</row>
    <row r="58" spans="1:52" ht="15" customHeight="1" x14ac:dyDescent="0.2">
      <c r="A58" s="81"/>
      <c r="B58" s="81"/>
      <c r="C58" s="81"/>
      <c r="D58" s="81"/>
      <c r="E58" s="89"/>
      <c r="F58" s="89"/>
      <c r="G58" s="89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</row>
    <row r="59" spans="1:52" ht="15" customHeight="1" x14ac:dyDescent="0.2">
      <c r="A59" s="81"/>
      <c r="B59" s="81"/>
      <c r="C59" s="81"/>
      <c r="D59" s="81"/>
      <c r="E59" s="89"/>
      <c r="F59" s="89"/>
      <c r="G59" s="89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</row>
    <row r="60" spans="1:52" ht="15" customHeight="1" x14ac:dyDescent="0.2">
      <c r="A60" s="81"/>
      <c r="B60" s="81"/>
      <c r="C60" s="81"/>
      <c r="D60" s="81"/>
      <c r="E60" s="89"/>
      <c r="F60" s="89"/>
      <c r="G60" s="89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</row>
    <row r="61" spans="1:52" ht="15" customHeight="1" x14ac:dyDescent="0.2">
      <c r="A61" s="81"/>
      <c r="B61" s="81"/>
      <c r="C61" s="81"/>
      <c r="D61" s="81"/>
      <c r="E61" s="89"/>
      <c r="F61" s="89"/>
      <c r="G61" s="89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</row>
    <row r="62" spans="1:52" ht="15" customHeight="1" x14ac:dyDescent="0.2">
      <c r="A62" s="81"/>
      <c r="B62" s="81"/>
      <c r="C62" s="81"/>
      <c r="D62" s="81"/>
      <c r="E62" s="89"/>
      <c r="F62" s="89"/>
      <c r="G62" s="89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</row>
    <row r="63" spans="1:52" ht="15" customHeight="1" x14ac:dyDescent="0.2">
      <c r="A63" s="81"/>
      <c r="B63" s="81"/>
      <c r="C63" s="81"/>
      <c r="D63" s="81"/>
      <c r="E63" s="89"/>
      <c r="F63" s="89"/>
      <c r="G63" s="89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</row>
    <row r="64" spans="1:52" ht="15" customHeight="1" x14ac:dyDescent="0.2">
      <c r="A64" s="81"/>
      <c r="B64" s="81"/>
      <c r="C64" s="81"/>
      <c r="D64" s="81"/>
      <c r="E64" s="89"/>
      <c r="F64" s="89"/>
      <c r="G64" s="89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</row>
    <row r="65" spans="1:52" ht="15" customHeight="1" x14ac:dyDescent="0.2">
      <c r="A65" s="81"/>
      <c r="B65" s="81"/>
      <c r="C65" s="81"/>
      <c r="D65" s="81"/>
      <c r="E65" s="89"/>
      <c r="F65" s="89"/>
      <c r="G65" s="89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</row>
    <row r="66" spans="1:52" ht="15" customHeight="1" x14ac:dyDescent="0.2">
      <c r="A66" s="81"/>
      <c r="B66" s="81"/>
      <c r="C66" s="81"/>
      <c r="D66" s="81"/>
      <c r="E66" s="89"/>
      <c r="F66" s="89"/>
      <c r="G66" s="89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</row>
    <row r="67" spans="1:52" ht="15" customHeight="1" x14ac:dyDescent="0.2">
      <c r="A67" s="81"/>
      <c r="B67" s="81"/>
      <c r="C67" s="81"/>
      <c r="D67" s="81"/>
      <c r="E67" s="89"/>
      <c r="F67" s="89"/>
      <c r="G67" s="89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</row>
    <row r="68" spans="1:52" ht="15" customHeight="1" x14ac:dyDescent="0.2">
      <c r="A68" s="81"/>
      <c r="B68" s="81"/>
      <c r="C68" s="81"/>
      <c r="D68" s="81"/>
      <c r="E68" s="89"/>
      <c r="F68" s="89"/>
      <c r="G68" s="89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</row>
    <row r="69" spans="1:52" ht="15" customHeight="1" x14ac:dyDescent="0.2">
      <c r="A69" s="81"/>
      <c r="B69" s="81"/>
      <c r="C69" s="81"/>
      <c r="D69" s="81"/>
      <c r="E69" s="89"/>
      <c r="F69" s="89"/>
      <c r="G69" s="89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</row>
    <row r="70" spans="1:52" ht="15" customHeight="1" x14ac:dyDescent="0.2">
      <c r="A70" s="81"/>
      <c r="B70" s="81"/>
      <c r="C70" s="81"/>
      <c r="D70" s="81"/>
      <c r="E70" s="89"/>
      <c r="F70" s="89"/>
      <c r="G70" s="89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</row>
    <row r="71" spans="1:52" ht="15" customHeight="1" x14ac:dyDescent="0.2">
      <c r="A71" s="81"/>
      <c r="B71" s="81"/>
      <c r="C71" s="81"/>
      <c r="D71" s="81"/>
      <c r="E71" s="89"/>
      <c r="F71" s="89"/>
      <c r="G71" s="89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</row>
    <row r="72" spans="1:52" ht="15" customHeight="1" x14ac:dyDescent="0.2">
      <c r="A72" s="81"/>
      <c r="B72" s="81"/>
      <c r="C72" s="81"/>
      <c r="D72" s="81"/>
      <c r="E72" s="89"/>
      <c r="F72" s="89"/>
      <c r="G72" s="89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</row>
    <row r="73" spans="1:52" ht="15" customHeight="1" x14ac:dyDescent="0.2">
      <c r="A73" s="81"/>
      <c r="B73" s="81"/>
      <c r="C73" s="81"/>
      <c r="D73" s="81"/>
      <c r="E73" s="89"/>
      <c r="F73" s="89"/>
      <c r="G73" s="89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</row>
    <row r="74" spans="1:52" ht="15" customHeight="1" x14ac:dyDescent="0.2">
      <c r="A74" s="81"/>
      <c r="B74" s="81"/>
      <c r="C74" s="81"/>
      <c r="D74" s="81"/>
      <c r="E74" s="89"/>
      <c r="F74" s="89"/>
      <c r="G74" s="89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</row>
    <row r="75" spans="1:52" ht="15" customHeight="1" x14ac:dyDescent="0.2">
      <c r="A75" s="81"/>
      <c r="B75" s="81"/>
      <c r="C75" s="81"/>
      <c r="D75" s="81"/>
      <c r="E75" s="89"/>
      <c r="F75" s="89"/>
      <c r="G75" s="89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</row>
    <row r="76" spans="1:52" ht="15" customHeight="1" x14ac:dyDescent="0.2">
      <c r="A76" s="81"/>
      <c r="B76" s="81"/>
      <c r="C76" s="81"/>
      <c r="D76" s="81"/>
      <c r="E76" s="89"/>
      <c r="F76" s="89"/>
      <c r="G76" s="89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</row>
    <row r="77" spans="1:52" ht="15" customHeight="1" x14ac:dyDescent="0.2">
      <c r="A77" s="81"/>
      <c r="B77" s="81"/>
      <c r="C77" s="81"/>
      <c r="D77" s="81"/>
      <c r="E77" s="89"/>
      <c r="F77" s="89"/>
      <c r="G77" s="89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</row>
    <row r="78" spans="1:52" ht="15" customHeight="1" x14ac:dyDescent="0.2">
      <c r="A78" s="81"/>
      <c r="B78" s="81"/>
      <c r="C78" s="81"/>
      <c r="D78" s="81"/>
      <c r="E78" s="89"/>
      <c r="F78" s="89"/>
      <c r="G78" s="89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</row>
    <row r="79" spans="1:52" ht="15" customHeight="1" x14ac:dyDescent="0.2">
      <c r="A79" s="81"/>
      <c r="B79" s="81"/>
      <c r="C79" s="81"/>
      <c r="D79" s="81"/>
      <c r="E79" s="89"/>
      <c r="F79" s="89"/>
      <c r="G79" s="89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</row>
    <row r="80" spans="1:52" ht="15" customHeight="1" x14ac:dyDescent="0.2">
      <c r="A80" s="81"/>
      <c r="B80" s="81"/>
      <c r="C80" s="81"/>
      <c r="D80" s="81"/>
      <c r="E80" s="89"/>
      <c r="F80" s="89"/>
      <c r="G80" s="89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</row>
    <row r="81" spans="1:52" ht="15" customHeight="1" x14ac:dyDescent="0.2">
      <c r="A81" s="81"/>
      <c r="B81" s="81"/>
      <c r="C81" s="81"/>
      <c r="D81" s="81"/>
      <c r="E81" s="89"/>
      <c r="F81" s="89"/>
      <c r="G81" s="89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</row>
    <row r="82" spans="1:52" ht="15" customHeight="1" x14ac:dyDescent="0.2">
      <c r="A82" s="81"/>
      <c r="B82" s="81"/>
      <c r="C82" s="81"/>
      <c r="D82" s="81"/>
      <c r="E82" s="89"/>
      <c r="F82" s="89"/>
      <c r="G82" s="89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</row>
    <row r="83" spans="1:52" ht="15" customHeight="1" x14ac:dyDescent="0.2">
      <c r="A83" s="81"/>
      <c r="B83" s="81"/>
      <c r="C83" s="81"/>
      <c r="D83" s="81"/>
      <c r="E83" s="89"/>
      <c r="F83" s="89"/>
      <c r="G83" s="89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</row>
    <row r="84" spans="1:52" ht="15" customHeight="1" x14ac:dyDescent="0.2">
      <c r="A84" s="81"/>
      <c r="B84" s="81"/>
      <c r="C84" s="81"/>
      <c r="D84" s="81"/>
      <c r="E84" s="89"/>
      <c r="F84" s="89"/>
      <c r="G84" s="89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</row>
    <row r="85" spans="1:52" ht="15" customHeight="1" x14ac:dyDescent="0.2">
      <c r="A85" s="81"/>
      <c r="B85" s="81"/>
      <c r="C85" s="81"/>
      <c r="D85" s="81"/>
      <c r="E85" s="89"/>
      <c r="F85" s="89"/>
      <c r="G85" s="89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</row>
    <row r="86" spans="1:52" ht="15" customHeight="1" x14ac:dyDescent="0.2">
      <c r="A86" s="81"/>
      <c r="B86" s="81"/>
      <c r="C86" s="81"/>
      <c r="D86" s="81"/>
      <c r="E86" s="89"/>
      <c r="F86" s="89"/>
      <c r="G86" s="89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</row>
    <row r="87" spans="1:52" ht="15" customHeight="1" x14ac:dyDescent="0.2">
      <c r="A87" s="81"/>
      <c r="B87" s="81"/>
      <c r="C87" s="81"/>
      <c r="D87" s="81"/>
      <c r="E87" s="89"/>
      <c r="F87" s="89"/>
      <c r="G87" s="89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</row>
    <row r="88" spans="1:52" ht="15" customHeight="1" x14ac:dyDescent="0.2">
      <c r="A88" s="81"/>
      <c r="B88" s="81"/>
      <c r="C88" s="81"/>
      <c r="D88" s="81"/>
      <c r="E88" s="89"/>
      <c r="F88" s="89"/>
      <c r="G88" s="89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</row>
    <row r="89" spans="1:52" ht="15" customHeight="1" x14ac:dyDescent="0.2">
      <c r="A89" s="81"/>
      <c r="B89" s="81"/>
      <c r="C89" s="81"/>
      <c r="D89" s="81"/>
      <c r="E89" s="89"/>
      <c r="F89" s="89"/>
      <c r="G89" s="89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</row>
    <row r="90" spans="1:52" ht="15" customHeight="1" x14ac:dyDescent="0.2">
      <c r="A90" s="81"/>
      <c r="B90" s="81"/>
      <c r="C90" s="81"/>
      <c r="D90" s="81"/>
      <c r="E90" s="89"/>
      <c r="F90" s="89"/>
      <c r="G90" s="89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</row>
    <row r="91" spans="1:52" ht="15" customHeight="1" x14ac:dyDescent="0.2">
      <c r="A91" s="81"/>
      <c r="B91" s="81"/>
      <c r="C91" s="81"/>
      <c r="D91" s="81"/>
      <c r="E91" s="89"/>
      <c r="F91" s="89"/>
      <c r="G91" s="89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</row>
    <row r="92" spans="1:52" ht="15" customHeight="1" x14ac:dyDescent="0.2">
      <c r="A92" s="81"/>
      <c r="B92" s="81"/>
      <c r="C92" s="81"/>
      <c r="D92" s="81"/>
      <c r="E92" s="89"/>
      <c r="F92" s="89"/>
      <c r="G92" s="89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</row>
    <row r="93" spans="1:52" ht="15" customHeight="1" x14ac:dyDescent="0.2">
      <c r="A93" s="81"/>
      <c r="B93" s="81"/>
      <c r="C93" s="81"/>
      <c r="D93" s="81"/>
      <c r="E93" s="89"/>
      <c r="F93" s="89"/>
      <c r="G93" s="89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</row>
    <row r="94" spans="1:52" ht="15" customHeight="1" x14ac:dyDescent="0.2">
      <c r="A94" s="81"/>
      <c r="B94" s="81"/>
      <c r="C94" s="81"/>
      <c r="D94" s="81"/>
      <c r="E94" s="89"/>
      <c r="F94" s="89"/>
      <c r="G94" s="89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</row>
    <row r="95" spans="1:52" ht="15" customHeight="1" x14ac:dyDescent="0.2">
      <c r="A95" s="81"/>
      <c r="B95" s="81"/>
      <c r="C95" s="81"/>
      <c r="D95" s="81"/>
      <c r="E95" s="89"/>
      <c r="F95" s="89"/>
      <c r="G95" s="89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</row>
    <row r="96" spans="1:52" ht="15" customHeight="1" x14ac:dyDescent="0.2">
      <c r="A96" s="81"/>
      <c r="B96" s="81"/>
      <c r="C96" s="81"/>
      <c r="D96" s="81"/>
      <c r="E96" s="89"/>
      <c r="F96" s="89"/>
      <c r="G96" s="89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</row>
    <row r="97" spans="1:52" ht="15" customHeight="1" x14ac:dyDescent="0.2">
      <c r="A97" s="81"/>
      <c r="B97" s="81"/>
      <c r="C97" s="81"/>
      <c r="D97" s="81"/>
      <c r="E97" s="89"/>
      <c r="F97" s="89"/>
      <c r="G97" s="89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</row>
    <row r="98" spans="1:52" ht="15" customHeight="1" x14ac:dyDescent="0.2">
      <c r="A98" s="81"/>
      <c r="B98" s="81"/>
      <c r="C98" s="81"/>
      <c r="D98" s="81"/>
      <c r="E98" s="89"/>
      <c r="F98" s="89"/>
      <c r="G98" s="89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</row>
    <row r="99" spans="1:52" ht="15" customHeight="1" x14ac:dyDescent="0.2">
      <c r="A99" s="81"/>
      <c r="B99" s="81"/>
      <c r="C99" s="81"/>
      <c r="D99" s="81"/>
      <c r="E99" s="89"/>
      <c r="F99" s="89"/>
      <c r="G99" s="89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</row>
    <row r="100" spans="1:52" ht="15" customHeight="1" x14ac:dyDescent="0.2">
      <c r="A100" s="81"/>
      <c r="B100" s="81"/>
      <c r="C100" s="81"/>
      <c r="D100" s="81"/>
      <c r="E100" s="89"/>
      <c r="F100" s="89"/>
      <c r="G100" s="89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</row>
    <row r="101" spans="1:52" ht="15" customHeight="1" x14ac:dyDescent="0.2">
      <c r="A101" s="81"/>
      <c r="B101" s="81"/>
      <c r="C101" s="81"/>
      <c r="D101" s="81"/>
      <c r="E101" s="89"/>
      <c r="F101" s="89"/>
      <c r="G101" s="89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</row>
    <row r="102" spans="1:52" ht="15" customHeight="1" x14ac:dyDescent="0.2">
      <c r="A102" s="81"/>
      <c r="B102" s="81"/>
      <c r="C102" s="81"/>
      <c r="D102" s="81"/>
      <c r="E102" s="89"/>
      <c r="F102" s="89"/>
      <c r="G102" s="89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</row>
    <row r="103" spans="1:52" ht="15" customHeight="1" x14ac:dyDescent="0.2">
      <c r="A103" s="81"/>
      <c r="B103" s="81"/>
      <c r="C103" s="81"/>
      <c r="D103" s="81"/>
      <c r="E103" s="89"/>
      <c r="F103" s="89"/>
      <c r="G103" s="89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</row>
    <row r="104" spans="1:52" ht="15" customHeight="1" x14ac:dyDescent="0.2">
      <c r="A104" s="81"/>
      <c r="B104" s="81"/>
      <c r="C104" s="81"/>
      <c r="D104" s="81"/>
      <c r="E104" s="89"/>
      <c r="F104" s="89"/>
      <c r="G104" s="89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</row>
    <row r="105" spans="1:52" ht="15" customHeight="1" x14ac:dyDescent="0.2">
      <c r="A105" s="81"/>
      <c r="B105" s="81"/>
      <c r="C105" s="81"/>
      <c r="D105" s="81"/>
      <c r="E105" s="89"/>
      <c r="F105" s="89"/>
      <c r="G105" s="89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</row>
    <row r="106" spans="1:52" ht="15" customHeight="1" x14ac:dyDescent="0.2">
      <c r="A106" s="81"/>
      <c r="B106" s="81"/>
      <c r="C106" s="81"/>
      <c r="D106" s="81"/>
      <c r="E106" s="89"/>
      <c r="F106" s="89"/>
      <c r="G106" s="89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</row>
    <row r="107" spans="1:52" ht="15" customHeight="1" x14ac:dyDescent="0.2">
      <c r="A107" s="81"/>
      <c r="B107" s="81"/>
      <c r="C107" s="81"/>
      <c r="D107" s="81"/>
      <c r="E107" s="89"/>
      <c r="F107" s="89"/>
      <c r="G107" s="89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</row>
    <row r="108" spans="1:52" ht="15" customHeight="1" x14ac:dyDescent="0.2">
      <c r="A108" s="81"/>
      <c r="B108" s="81"/>
      <c r="C108" s="81"/>
      <c r="D108" s="81"/>
      <c r="E108" s="89"/>
      <c r="F108" s="89"/>
      <c r="G108" s="89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</row>
    <row r="109" spans="1:52" ht="15" customHeight="1" x14ac:dyDescent="0.2">
      <c r="A109" s="81"/>
      <c r="B109" s="81"/>
      <c r="C109" s="81"/>
      <c r="D109" s="81"/>
      <c r="E109" s="89"/>
      <c r="F109" s="89"/>
      <c r="G109" s="89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</row>
    <row r="110" spans="1:52" ht="15" customHeight="1" x14ac:dyDescent="0.2">
      <c r="A110" s="81"/>
      <c r="B110" s="81"/>
      <c r="C110" s="81"/>
      <c r="D110" s="81"/>
      <c r="E110" s="89"/>
      <c r="F110" s="89"/>
      <c r="G110" s="89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</row>
    <row r="111" spans="1:52" ht="15" customHeight="1" x14ac:dyDescent="0.2">
      <c r="A111" s="81"/>
      <c r="B111" s="81"/>
      <c r="C111" s="81"/>
      <c r="D111" s="81"/>
      <c r="E111" s="89"/>
      <c r="F111" s="89"/>
      <c r="G111" s="89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</row>
    <row r="112" spans="1:52" ht="15" customHeight="1" x14ac:dyDescent="0.2">
      <c r="A112" s="81"/>
      <c r="B112" s="81"/>
      <c r="C112" s="81"/>
      <c r="D112" s="81"/>
      <c r="E112" s="89"/>
      <c r="F112" s="89"/>
      <c r="G112" s="89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</row>
    <row r="113" spans="1:52" ht="15" customHeight="1" x14ac:dyDescent="0.2">
      <c r="A113" s="81"/>
      <c r="B113" s="81"/>
      <c r="C113" s="81"/>
      <c r="D113" s="81"/>
      <c r="E113" s="89"/>
      <c r="F113" s="89"/>
      <c r="G113" s="89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</row>
    <row r="114" spans="1:52" ht="15" customHeight="1" x14ac:dyDescent="0.2">
      <c r="A114" s="81"/>
      <c r="B114" s="81"/>
      <c r="C114" s="81"/>
      <c r="D114" s="81"/>
      <c r="E114" s="89"/>
      <c r="F114" s="89"/>
      <c r="G114" s="89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</row>
    <row r="115" spans="1:52" ht="15" customHeight="1" x14ac:dyDescent="0.2">
      <c r="A115" s="81"/>
      <c r="B115" s="81"/>
      <c r="C115" s="81"/>
      <c r="D115" s="81"/>
      <c r="E115" s="89"/>
      <c r="F115" s="89"/>
      <c r="G115" s="89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</row>
    <row r="116" spans="1:52" ht="15" customHeight="1" x14ac:dyDescent="0.2">
      <c r="A116" s="81"/>
      <c r="B116" s="81"/>
      <c r="C116" s="81"/>
      <c r="D116" s="81"/>
      <c r="E116" s="89"/>
      <c r="F116" s="89"/>
      <c r="G116" s="89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</row>
    <row r="117" spans="1:52" ht="15" customHeight="1" x14ac:dyDescent="0.2">
      <c r="A117" s="81"/>
      <c r="B117" s="81"/>
      <c r="C117" s="81"/>
      <c r="D117" s="81"/>
      <c r="E117" s="89"/>
      <c r="F117" s="89"/>
      <c r="G117" s="89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</row>
    <row r="118" spans="1:52" ht="15" customHeight="1" x14ac:dyDescent="0.2">
      <c r="A118" s="81"/>
      <c r="B118" s="81"/>
      <c r="C118" s="81"/>
      <c r="D118" s="81"/>
      <c r="E118" s="89"/>
      <c r="F118" s="89"/>
      <c r="G118" s="89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</row>
    <row r="119" spans="1:52" ht="15" customHeight="1" x14ac:dyDescent="0.2">
      <c r="A119" s="81"/>
      <c r="B119" s="81"/>
      <c r="C119" s="81"/>
      <c r="D119" s="81"/>
      <c r="E119" s="89"/>
      <c r="F119" s="89"/>
      <c r="G119" s="89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</row>
    <row r="120" spans="1:52" ht="15" customHeight="1" x14ac:dyDescent="0.2">
      <c r="A120" s="81"/>
      <c r="B120" s="81"/>
      <c r="C120" s="81"/>
      <c r="D120" s="81"/>
      <c r="E120" s="89"/>
      <c r="F120" s="89"/>
      <c r="G120" s="89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</row>
    <row r="121" spans="1:52" ht="15" customHeight="1" x14ac:dyDescent="0.2">
      <c r="A121" s="81"/>
      <c r="B121" s="81"/>
      <c r="C121" s="81"/>
      <c r="D121" s="81"/>
      <c r="E121" s="89"/>
      <c r="F121" s="89"/>
      <c r="G121" s="89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</row>
    <row r="122" spans="1:52" ht="15" customHeight="1" x14ac:dyDescent="0.2">
      <c r="A122" s="81"/>
      <c r="B122" s="81"/>
      <c r="C122" s="81"/>
      <c r="D122" s="81"/>
      <c r="E122" s="89"/>
      <c r="F122" s="89"/>
      <c r="G122" s="89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</row>
    <row r="123" spans="1:52" ht="15" customHeight="1" x14ac:dyDescent="0.2">
      <c r="A123" s="81"/>
      <c r="B123" s="81"/>
      <c r="C123" s="81"/>
      <c r="D123" s="81"/>
      <c r="E123" s="89"/>
      <c r="F123" s="89"/>
      <c r="G123" s="89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</row>
    <row r="124" spans="1:52" ht="15" customHeight="1" x14ac:dyDescent="0.2">
      <c r="A124" s="81"/>
      <c r="B124" s="81"/>
      <c r="C124" s="81"/>
      <c r="D124" s="81"/>
      <c r="E124" s="89"/>
      <c r="F124" s="89"/>
      <c r="G124" s="89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</row>
    <row r="125" spans="1:52" ht="15" customHeight="1" x14ac:dyDescent="0.2">
      <c r="A125" s="81"/>
      <c r="B125" s="81"/>
      <c r="C125" s="81"/>
      <c r="D125" s="81"/>
      <c r="E125" s="89"/>
      <c r="F125" s="89"/>
      <c r="G125" s="89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</row>
    <row r="126" spans="1:52" ht="15" customHeight="1" x14ac:dyDescent="0.2">
      <c r="A126" s="81"/>
      <c r="B126" s="81"/>
      <c r="C126" s="81"/>
      <c r="D126" s="81"/>
      <c r="E126" s="89"/>
      <c r="F126" s="89"/>
      <c r="G126" s="89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</row>
    <row r="127" spans="1:52" ht="15" customHeight="1" x14ac:dyDescent="0.2">
      <c r="A127" s="81"/>
      <c r="B127" s="81"/>
      <c r="C127" s="81"/>
      <c r="D127" s="81"/>
      <c r="E127" s="89"/>
      <c r="F127" s="89"/>
      <c r="G127" s="89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</row>
    <row r="128" spans="1:52" ht="15" customHeight="1" x14ac:dyDescent="0.2">
      <c r="A128" s="81"/>
      <c r="B128" s="81"/>
      <c r="C128" s="81"/>
      <c r="D128" s="81"/>
      <c r="E128" s="89"/>
      <c r="F128" s="89"/>
      <c r="G128" s="89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</row>
    <row r="129" spans="1:52" ht="15" customHeight="1" x14ac:dyDescent="0.2">
      <c r="A129" s="81"/>
      <c r="B129" s="81"/>
      <c r="C129" s="81"/>
      <c r="D129" s="81"/>
      <c r="E129" s="89"/>
      <c r="F129" s="89"/>
      <c r="G129" s="89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</row>
    <row r="130" spans="1:52" ht="15" customHeight="1" x14ac:dyDescent="0.2">
      <c r="A130" s="81"/>
      <c r="B130" s="81"/>
      <c r="C130" s="81"/>
      <c r="D130" s="81"/>
      <c r="E130" s="89"/>
      <c r="F130" s="89"/>
      <c r="G130" s="89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</row>
    <row r="131" spans="1:52" ht="15" customHeight="1" x14ac:dyDescent="0.2">
      <c r="A131" s="81"/>
      <c r="B131" s="81"/>
      <c r="C131" s="81"/>
      <c r="D131" s="81"/>
      <c r="E131" s="89"/>
      <c r="F131" s="89"/>
      <c r="G131" s="89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</row>
    <row r="132" spans="1:52" ht="15" customHeight="1" x14ac:dyDescent="0.2">
      <c r="A132" s="81"/>
      <c r="B132" s="81"/>
      <c r="C132" s="81"/>
      <c r="D132" s="81"/>
      <c r="E132" s="89"/>
      <c r="F132" s="89"/>
      <c r="G132" s="89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</row>
    <row r="133" spans="1:52" ht="15" customHeight="1" x14ac:dyDescent="0.2">
      <c r="A133" s="81"/>
      <c r="B133" s="81"/>
      <c r="C133" s="81"/>
      <c r="D133" s="81"/>
      <c r="E133" s="89"/>
      <c r="F133" s="89"/>
      <c r="G133" s="89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</row>
    <row r="134" spans="1:52" ht="15" customHeight="1" x14ac:dyDescent="0.2">
      <c r="A134" s="81"/>
      <c r="B134" s="81"/>
      <c r="C134" s="81"/>
      <c r="D134" s="81"/>
      <c r="E134" s="89"/>
      <c r="F134" s="89"/>
      <c r="G134" s="89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</row>
    <row r="135" spans="1:52" ht="15" customHeight="1" x14ac:dyDescent="0.2">
      <c r="A135" s="81"/>
      <c r="B135" s="81"/>
      <c r="C135" s="81"/>
      <c r="D135" s="81"/>
      <c r="E135" s="89"/>
      <c r="F135" s="89"/>
      <c r="G135" s="89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</row>
    <row r="136" spans="1:52" ht="15" customHeight="1" x14ac:dyDescent="0.2">
      <c r="A136" s="81"/>
      <c r="B136" s="81"/>
      <c r="C136" s="81"/>
      <c r="D136" s="81"/>
      <c r="E136" s="89"/>
      <c r="F136" s="89"/>
      <c r="G136" s="89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</row>
    <row r="137" spans="1:52" ht="15" customHeight="1" x14ac:dyDescent="0.2">
      <c r="A137" s="81"/>
      <c r="B137" s="81"/>
      <c r="C137" s="81"/>
      <c r="D137" s="81"/>
      <c r="E137" s="89"/>
      <c r="F137" s="89"/>
      <c r="G137" s="89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</row>
    <row r="138" spans="1:52" ht="15" customHeight="1" x14ac:dyDescent="0.2">
      <c r="A138" s="81"/>
      <c r="B138" s="81"/>
      <c r="C138" s="81"/>
      <c r="D138" s="81"/>
      <c r="E138" s="89"/>
      <c r="F138" s="89"/>
      <c r="G138" s="89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</row>
    <row r="139" spans="1:52" ht="15" customHeight="1" x14ac:dyDescent="0.2">
      <c r="A139" s="81"/>
      <c r="B139" s="81"/>
      <c r="C139" s="81"/>
      <c r="D139" s="81"/>
      <c r="E139" s="89"/>
      <c r="F139" s="89"/>
      <c r="G139" s="89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</row>
    <row r="140" spans="1:52" ht="15" customHeight="1" x14ac:dyDescent="0.2">
      <c r="A140" s="81"/>
      <c r="B140" s="81"/>
      <c r="C140" s="81"/>
      <c r="D140" s="81"/>
      <c r="E140" s="89"/>
      <c r="F140" s="89"/>
      <c r="G140" s="89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</row>
    <row r="141" spans="1:52" ht="15" customHeight="1" x14ac:dyDescent="0.2">
      <c r="A141" s="81"/>
      <c r="B141" s="81"/>
      <c r="C141" s="81"/>
      <c r="D141" s="81"/>
      <c r="E141" s="89"/>
      <c r="F141" s="89"/>
      <c r="G141" s="89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</row>
    <row r="142" spans="1:52" ht="15" customHeight="1" x14ac:dyDescent="0.2">
      <c r="A142" s="81"/>
      <c r="B142" s="81"/>
      <c r="C142" s="81"/>
      <c r="D142" s="81"/>
      <c r="E142" s="89"/>
      <c r="F142" s="89"/>
      <c r="G142" s="89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</row>
    <row r="143" spans="1:52" ht="15" customHeight="1" x14ac:dyDescent="0.2">
      <c r="A143" s="81"/>
      <c r="B143" s="81"/>
      <c r="C143" s="81"/>
      <c r="D143" s="81"/>
      <c r="E143" s="89"/>
      <c r="F143" s="89"/>
      <c r="G143" s="89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</row>
    <row r="144" spans="1:52" ht="15" customHeight="1" x14ac:dyDescent="0.2">
      <c r="A144" s="81"/>
      <c r="B144" s="81"/>
      <c r="C144" s="81"/>
      <c r="D144" s="81"/>
      <c r="E144" s="89"/>
      <c r="F144" s="89"/>
      <c r="G144" s="89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</row>
    <row r="145" spans="1:52" ht="15" customHeight="1" x14ac:dyDescent="0.2">
      <c r="A145" s="81"/>
      <c r="B145" s="81"/>
      <c r="C145" s="81"/>
      <c r="D145" s="81"/>
      <c r="E145" s="89"/>
      <c r="F145" s="89"/>
      <c r="G145" s="89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</row>
    <row r="146" spans="1:52" ht="15" customHeight="1" x14ac:dyDescent="0.2">
      <c r="A146" s="81"/>
      <c r="B146" s="81"/>
      <c r="C146" s="81"/>
      <c r="D146" s="81"/>
      <c r="E146" s="89"/>
      <c r="F146" s="89"/>
      <c r="G146" s="89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</row>
    <row r="147" spans="1:52" ht="15" customHeight="1" x14ac:dyDescent="0.2">
      <c r="A147" s="81"/>
      <c r="B147" s="81"/>
      <c r="C147" s="81"/>
      <c r="D147" s="81"/>
      <c r="E147" s="89"/>
      <c r="F147" s="89"/>
      <c r="G147" s="89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</row>
    <row r="148" spans="1:52" ht="15" customHeight="1" x14ac:dyDescent="0.2">
      <c r="A148" s="81"/>
      <c r="B148" s="81"/>
      <c r="C148" s="81"/>
      <c r="D148" s="81"/>
      <c r="E148" s="89"/>
      <c r="F148" s="89"/>
      <c r="G148" s="89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</row>
    <row r="149" spans="1:52" ht="15" customHeight="1" x14ac:dyDescent="0.2">
      <c r="A149" s="81"/>
      <c r="B149" s="81"/>
      <c r="C149" s="81"/>
      <c r="D149" s="81"/>
      <c r="E149" s="89"/>
      <c r="F149" s="89"/>
      <c r="G149" s="89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</row>
    <row r="150" spans="1:52" ht="15" customHeight="1" x14ac:dyDescent="0.2">
      <c r="A150" s="81"/>
      <c r="B150" s="81"/>
      <c r="C150" s="81"/>
      <c r="D150" s="81"/>
      <c r="E150" s="89"/>
      <c r="F150" s="89"/>
      <c r="G150" s="89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</row>
    <row r="151" spans="1:52" ht="15" customHeight="1" x14ac:dyDescent="0.2">
      <c r="A151" s="81"/>
      <c r="B151" s="81"/>
      <c r="C151" s="81"/>
      <c r="D151" s="81"/>
      <c r="E151" s="89"/>
      <c r="F151" s="89"/>
      <c r="G151" s="89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</row>
    <row r="152" spans="1:52" ht="15" customHeight="1" x14ac:dyDescent="0.2">
      <c r="A152" s="81"/>
      <c r="B152" s="81"/>
      <c r="C152" s="81"/>
      <c r="D152" s="81"/>
      <c r="E152" s="89"/>
      <c r="F152" s="89"/>
      <c r="G152" s="89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</row>
    <row r="153" spans="1:52" ht="15" customHeight="1" x14ac:dyDescent="0.2">
      <c r="A153" s="81"/>
      <c r="B153" s="81"/>
      <c r="C153" s="81"/>
      <c r="D153" s="81"/>
      <c r="E153" s="89"/>
      <c r="F153" s="89"/>
      <c r="G153" s="89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</row>
    <row r="154" spans="1:52" ht="15" customHeight="1" x14ac:dyDescent="0.2">
      <c r="A154" s="81"/>
      <c r="B154" s="81"/>
      <c r="C154" s="81"/>
      <c r="D154" s="81"/>
      <c r="E154" s="89"/>
      <c r="F154" s="89"/>
      <c r="G154" s="89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</row>
    <row r="155" spans="1:52" ht="15" customHeight="1" x14ac:dyDescent="0.2">
      <c r="A155" s="81"/>
      <c r="B155" s="81"/>
      <c r="C155" s="81"/>
      <c r="D155" s="81"/>
      <c r="E155" s="89"/>
      <c r="F155" s="89"/>
      <c r="G155" s="89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</row>
    <row r="156" spans="1:52" ht="15" customHeight="1" x14ac:dyDescent="0.2">
      <c r="A156" s="81"/>
      <c r="B156" s="81"/>
      <c r="C156" s="81"/>
      <c r="D156" s="81"/>
      <c r="E156" s="89"/>
      <c r="F156" s="89"/>
      <c r="G156" s="89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</row>
    <row r="157" spans="1:52" ht="15" customHeight="1" x14ac:dyDescent="0.2">
      <c r="A157" s="81"/>
      <c r="B157" s="81"/>
      <c r="C157" s="81"/>
      <c r="D157" s="81"/>
      <c r="E157" s="89"/>
      <c r="F157" s="89"/>
      <c r="G157" s="89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</row>
    <row r="158" spans="1:52" ht="15" customHeight="1" x14ac:dyDescent="0.2">
      <c r="A158" s="81"/>
      <c r="B158" s="81"/>
      <c r="C158" s="81"/>
      <c r="D158" s="81"/>
      <c r="E158" s="89"/>
      <c r="F158" s="89"/>
      <c r="G158" s="89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</row>
    <row r="159" spans="1:52" ht="15" customHeight="1" x14ac:dyDescent="0.2">
      <c r="A159" s="81"/>
      <c r="B159" s="81"/>
      <c r="C159" s="81"/>
      <c r="D159" s="81"/>
      <c r="E159" s="89"/>
      <c r="F159" s="89"/>
      <c r="G159" s="89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</row>
    <row r="160" spans="1:52" ht="15" customHeight="1" x14ac:dyDescent="0.2">
      <c r="A160" s="81"/>
      <c r="B160" s="81"/>
      <c r="C160" s="81"/>
      <c r="D160" s="81"/>
      <c r="E160" s="89"/>
      <c r="F160" s="89"/>
      <c r="G160" s="89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</row>
    <row r="161" spans="1:52" ht="15" customHeight="1" x14ac:dyDescent="0.2">
      <c r="A161" s="81"/>
      <c r="B161" s="81"/>
      <c r="C161" s="81"/>
      <c r="D161" s="81"/>
      <c r="E161" s="89"/>
      <c r="F161" s="89"/>
      <c r="G161" s="89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</row>
    <row r="162" spans="1:52" ht="15" customHeight="1" x14ac:dyDescent="0.2">
      <c r="A162" s="81"/>
      <c r="B162" s="81"/>
      <c r="C162" s="81"/>
      <c r="D162" s="81"/>
      <c r="E162" s="89"/>
      <c r="F162" s="89"/>
      <c r="G162" s="89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</row>
    <row r="163" spans="1:52" ht="15" customHeight="1" x14ac:dyDescent="0.2">
      <c r="A163" s="81"/>
      <c r="B163" s="81"/>
      <c r="C163" s="81"/>
      <c r="D163" s="81"/>
      <c r="E163" s="89"/>
      <c r="F163" s="89"/>
      <c r="G163" s="89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</row>
    <row r="164" spans="1:52" ht="15" customHeight="1" x14ac:dyDescent="0.2">
      <c r="A164" s="81"/>
      <c r="B164" s="81"/>
      <c r="C164" s="81"/>
      <c r="D164" s="81"/>
      <c r="E164" s="89"/>
      <c r="F164" s="89"/>
      <c r="G164" s="89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</row>
    <row r="165" spans="1:52" ht="15" customHeight="1" x14ac:dyDescent="0.2">
      <c r="A165" s="81"/>
      <c r="B165" s="81"/>
      <c r="C165" s="81"/>
      <c r="D165" s="81"/>
      <c r="E165" s="89"/>
      <c r="F165" s="89"/>
      <c r="G165" s="89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</row>
    <row r="166" spans="1:52" ht="15" customHeight="1" x14ac:dyDescent="0.2">
      <c r="A166" s="81"/>
      <c r="B166" s="81"/>
      <c r="C166" s="81"/>
      <c r="D166" s="81"/>
      <c r="E166" s="89"/>
      <c r="F166" s="89"/>
      <c r="G166" s="89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</row>
    <row r="167" spans="1:52" ht="15" customHeight="1" x14ac:dyDescent="0.2">
      <c r="A167" s="81"/>
      <c r="B167" s="81"/>
      <c r="C167" s="81"/>
      <c r="D167" s="81"/>
      <c r="E167" s="89"/>
      <c r="F167" s="89"/>
      <c r="G167" s="89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</row>
    <row r="168" spans="1:52" ht="15" customHeight="1" x14ac:dyDescent="0.2">
      <c r="A168" s="81"/>
      <c r="B168" s="81"/>
      <c r="C168" s="81"/>
      <c r="D168" s="81"/>
      <c r="E168" s="89"/>
      <c r="F168" s="89"/>
      <c r="G168" s="89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</row>
    <row r="169" spans="1:52" ht="15" customHeight="1" x14ac:dyDescent="0.2">
      <c r="A169" s="81"/>
      <c r="B169" s="81"/>
      <c r="C169" s="81"/>
      <c r="D169" s="81"/>
      <c r="E169" s="89"/>
      <c r="F169" s="89"/>
      <c r="G169" s="89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</row>
    <row r="170" spans="1:52" ht="15" customHeight="1" x14ac:dyDescent="0.2">
      <c r="A170" s="81"/>
      <c r="B170" s="81"/>
      <c r="C170" s="81"/>
      <c r="D170" s="81"/>
      <c r="E170" s="89"/>
      <c r="F170" s="89"/>
      <c r="G170" s="89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</row>
    <row r="171" spans="1:52" ht="15" customHeight="1" x14ac:dyDescent="0.2">
      <c r="A171" s="81"/>
      <c r="B171" s="81"/>
      <c r="C171" s="81"/>
      <c r="D171" s="81"/>
      <c r="E171" s="89"/>
      <c r="F171" s="89"/>
      <c r="G171" s="89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</row>
    <row r="172" spans="1:52" ht="15" customHeight="1" x14ac:dyDescent="0.2">
      <c r="A172" s="81"/>
      <c r="B172" s="81"/>
      <c r="C172" s="81"/>
      <c r="D172" s="81"/>
      <c r="E172" s="89"/>
      <c r="F172" s="89"/>
      <c r="G172" s="89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</row>
    <row r="173" spans="1:52" ht="15" customHeight="1" x14ac:dyDescent="0.2">
      <c r="A173" s="81"/>
      <c r="B173" s="81"/>
      <c r="C173" s="81"/>
      <c r="D173" s="81"/>
      <c r="E173" s="89"/>
      <c r="F173" s="89"/>
      <c r="G173" s="89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</row>
    <row r="174" spans="1:52" ht="15" customHeight="1" x14ac:dyDescent="0.2">
      <c r="A174" s="81"/>
      <c r="B174" s="81"/>
      <c r="C174" s="81"/>
      <c r="D174" s="81"/>
      <c r="E174" s="89"/>
      <c r="F174" s="89"/>
      <c r="G174" s="89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</row>
    <row r="175" spans="1:52" ht="15" customHeight="1" x14ac:dyDescent="0.2">
      <c r="A175" s="81"/>
      <c r="B175" s="81"/>
      <c r="C175" s="81"/>
      <c r="D175" s="81"/>
      <c r="E175" s="89"/>
      <c r="F175" s="89"/>
      <c r="G175" s="89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</row>
    <row r="176" spans="1:52" ht="15" customHeight="1" x14ac:dyDescent="0.2">
      <c r="A176" s="81"/>
      <c r="B176" s="81"/>
      <c r="C176" s="81"/>
      <c r="D176" s="81"/>
      <c r="E176" s="89"/>
      <c r="F176" s="89"/>
      <c r="G176" s="89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</row>
    <row r="177" spans="1:52" ht="15" customHeight="1" x14ac:dyDescent="0.2">
      <c r="A177" s="81"/>
      <c r="B177" s="81"/>
      <c r="C177" s="81"/>
      <c r="D177" s="81"/>
      <c r="E177" s="89"/>
      <c r="F177" s="89"/>
      <c r="G177" s="89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</row>
    <row r="178" spans="1:52" ht="15" customHeight="1" x14ac:dyDescent="0.2">
      <c r="A178" s="81"/>
      <c r="B178" s="81"/>
      <c r="C178" s="81"/>
      <c r="D178" s="81"/>
      <c r="E178" s="89"/>
      <c r="F178" s="89"/>
      <c r="G178" s="89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</row>
    <row r="179" spans="1:52" ht="15" customHeight="1" x14ac:dyDescent="0.2">
      <c r="A179" s="81"/>
      <c r="B179" s="81"/>
      <c r="C179" s="81"/>
      <c r="D179" s="81"/>
      <c r="E179" s="89"/>
      <c r="F179" s="89"/>
      <c r="G179" s="89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</row>
    <row r="180" spans="1:52" ht="15" customHeight="1" x14ac:dyDescent="0.2">
      <c r="A180" s="81"/>
      <c r="B180" s="81"/>
      <c r="C180" s="81"/>
      <c r="D180" s="81"/>
      <c r="E180" s="89"/>
      <c r="F180" s="89"/>
      <c r="G180" s="89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</row>
    <row r="181" spans="1:52" ht="15" customHeight="1" x14ac:dyDescent="0.2">
      <c r="A181" s="81"/>
      <c r="B181" s="81"/>
      <c r="C181" s="81"/>
      <c r="D181" s="81"/>
      <c r="E181" s="89"/>
      <c r="F181" s="89"/>
      <c r="G181" s="89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</row>
    <row r="182" spans="1:52" ht="15" customHeight="1" x14ac:dyDescent="0.2">
      <c r="A182" s="81"/>
      <c r="B182" s="81"/>
      <c r="C182" s="81"/>
      <c r="D182" s="81"/>
      <c r="E182" s="89"/>
      <c r="F182" s="89"/>
      <c r="G182" s="89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</row>
    <row r="183" spans="1:52" ht="15" customHeight="1" x14ac:dyDescent="0.2">
      <c r="A183" s="81"/>
      <c r="B183" s="81"/>
      <c r="C183" s="81"/>
      <c r="D183" s="81"/>
      <c r="E183" s="89"/>
      <c r="F183" s="89"/>
      <c r="G183" s="89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</row>
    <row r="184" spans="1:52" ht="15" customHeight="1" x14ac:dyDescent="0.2">
      <c r="A184" s="81"/>
      <c r="B184" s="81"/>
      <c r="C184" s="81"/>
      <c r="D184" s="81"/>
      <c r="E184" s="89"/>
      <c r="F184" s="89"/>
      <c r="G184" s="89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</row>
    <row r="185" spans="1:52" ht="15" customHeight="1" x14ac:dyDescent="0.2">
      <c r="A185" s="81"/>
      <c r="B185" s="81"/>
      <c r="C185" s="81"/>
      <c r="D185" s="81"/>
      <c r="E185" s="89"/>
      <c r="F185" s="89"/>
      <c r="G185" s="89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</row>
    <row r="186" spans="1:52" ht="15" customHeight="1" x14ac:dyDescent="0.2">
      <c r="A186" s="81"/>
      <c r="B186" s="81"/>
      <c r="C186" s="81"/>
      <c r="D186" s="81"/>
      <c r="E186" s="89"/>
      <c r="F186" s="89"/>
      <c r="G186" s="89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</row>
    <row r="187" spans="1:52" ht="15" customHeight="1" x14ac:dyDescent="0.2">
      <c r="A187" s="81"/>
      <c r="B187" s="81"/>
      <c r="C187" s="81"/>
      <c r="D187" s="81"/>
      <c r="E187" s="89"/>
      <c r="F187" s="89"/>
      <c r="G187" s="89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</row>
    <row r="188" spans="1:52" ht="15" customHeight="1" x14ac:dyDescent="0.2">
      <c r="A188" s="81"/>
      <c r="B188" s="81"/>
      <c r="C188" s="81"/>
      <c r="D188" s="81"/>
      <c r="E188" s="89"/>
      <c r="F188" s="89"/>
      <c r="G188" s="89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</row>
    <row r="189" spans="1:52" ht="15" customHeight="1" x14ac:dyDescent="0.2">
      <c r="A189" s="81"/>
      <c r="B189" s="81"/>
      <c r="C189" s="81"/>
      <c r="D189" s="81"/>
      <c r="E189" s="89"/>
      <c r="F189" s="89"/>
      <c r="G189" s="89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</row>
    <row r="190" spans="1:52" ht="15" customHeight="1" x14ac:dyDescent="0.2">
      <c r="A190" s="81"/>
      <c r="B190" s="81"/>
      <c r="C190" s="81"/>
      <c r="D190" s="81"/>
      <c r="E190" s="89"/>
      <c r="F190" s="89"/>
      <c r="G190" s="89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</row>
    <row r="191" spans="1:52" ht="15" customHeight="1" x14ac:dyDescent="0.2">
      <c r="A191" s="81"/>
      <c r="B191" s="81"/>
      <c r="C191" s="81"/>
      <c r="D191" s="81"/>
      <c r="E191" s="89"/>
      <c r="F191" s="89"/>
      <c r="G191" s="89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</row>
    <row r="192" spans="1:52" ht="15" customHeight="1" x14ac:dyDescent="0.2">
      <c r="A192" s="81"/>
      <c r="B192" s="81"/>
      <c r="C192" s="81"/>
      <c r="D192" s="81"/>
      <c r="E192" s="89"/>
      <c r="F192" s="89"/>
      <c r="G192" s="89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</row>
    <row r="193" spans="1:52" ht="15" customHeight="1" x14ac:dyDescent="0.2">
      <c r="A193" s="81"/>
      <c r="B193" s="81"/>
      <c r="C193" s="81"/>
      <c r="D193" s="81"/>
      <c r="E193" s="89"/>
      <c r="F193" s="89"/>
      <c r="G193" s="89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</row>
    <row r="194" spans="1:52" ht="15" customHeight="1" x14ac:dyDescent="0.2">
      <c r="A194" s="81"/>
      <c r="B194" s="81"/>
      <c r="C194" s="81"/>
      <c r="D194" s="81"/>
      <c r="E194" s="89"/>
      <c r="F194" s="89"/>
      <c r="G194" s="89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</row>
    <row r="195" spans="1:52" ht="15" customHeight="1" x14ac:dyDescent="0.2">
      <c r="A195" s="81"/>
      <c r="B195" s="81"/>
      <c r="C195" s="81"/>
      <c r="D195" s="81"/>
      <c r="E195" s="89"/>
      <c r="F195" s="89"/>
      <c r="G195" s="89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</row>
    <row r="196" spans="1:52" ht="15" customHeight="1" x14ac:dyDescent="0.2">
      <c r="A196" s="81"/>
      <c r="B196" s="81"/>
      <c r="C196" s="81"/>
      <c r="D196" s="81"/>
      <c r="E196" s="89"/>
      <c r="F196" s="89"/>
      <c r="G196" s="89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</row>
    <row r="197" spans="1:52" ht="15" customHeight="1" x14ac:dyDescent="0.2">
      <c r="A197" s="81"/>
      <c r="B197" s="81"/>
      <c r="C197" s="81"/>
      <c r="D197" s="81"/>
      <c r="E197" s="89"/>
      <c r="F197" s="89"/>
      <c r="G197" s="89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</row>
    <row r="198" spans="1:52" ht="15" customHeight="1" x14ac:dyDescent="0.2">
      <c r="A198" s="81"/>
      <c r="B198" s="81"/>
      <c r="C198" s="81"/>
      <c r="D198" s="81"/>
      <c r="E198" s="89"/>
      <c r="F198" s="89"/>
      <c r="G198" s="89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</row>
    <row r="199" spans="1:52" ht="15" customHeight="1" x14ac:dyDescent="0.2">
      <c r="A199" s="81"/>
      <c r="B199" s="81"/>
      <c r="C199" s="81"/>
      <c r="D199" s="81"/>
      <c r="E199" s="89"/>
      <c r="F199" s="89"/>
      <c r="G199" s="89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</row>
    <row r="200" spans="1:52" ht="15" customHeight="1" x14ac:dyDescent="0.2">
      <c r="A200" s="81"/>
      <c r="B200" s="81"/>
      <c r="C200" s="81"/>
      <c r="D200" s="81"/>
      <c r="E200" s="89"/>
      <c r="F200" s="89"/>
      <c r="G200" s="89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00"/>
  <sheetViews>
    <sheetView showGridLines="0" topLeftCell="A27" zoomScaleNormal="100" workbookViewId="0">
      <selection activeCell="I13" sqref="I13"/>
    </sheetView>
  </sheetViews>
  <sheetFormatPr baseColWidth="10" defaultColWidth="18.140625" defaultRowHeight="12.75" x14ac:dyDescent="0.2"/>
  <cols>
    <col min="1" max="1" width="11.42578125" customWidth="1"/>
    <col min="2" max="2" width="5" customWidth="1"/>
    <col min="3" max="3" width="8" customWidth="1"/>
    <col min="4" max="4" width="10.140625" customWidth="1"/>
    <col min="5" max="5" width="13.7109375" customWidth="1"/>
    <col min="6" max="6" width="20.85546875" customWidth="1"/>
    <col min="7" max="7" width="13.7109375" customWidth="1"/>
    <col min="8" max="8" width="17.28515625" customWidth="1"/>
    <col min="9" max="9" width="18" customWidth="1"/>
    <col min="10" max="10" width="13.28515625" customWidth="1"/>
    <col min="11" max="13" width="14.7109375" customWidth="1"/>
  </cols>
  <sheetData>
    <row r="1" spans="1:52" ht="34.5" customHeight="1" x14ac:dyDescent="0.2">
      <c r="A1" s="88" t="s">
        <v>161</v>
      </c>
      <c r="B1" s="88" t="s">
        <v>162</v>
      </c>
      <c r="C1" s="88" t="s">
        <v>163</v>
      </c>
      <c r="D1" s="88" t="s">
        <v>164</v>
      </c>
      <c r="E1" s="88" t="s">
        <v>168</v>
      </c>
      <c r="F1" s="88" t="s">
        <v>169</v>
      </c>
      <c r="G1" s="88" t="s">
        <v>170</v>
      </c>
      <c r="H1" s="88" t="s">
        <v>171</v>
      </c>
      <c r="I1" s="88" t="s">
        <v>172</v>
      </c>
      <c r="J1" s="88" t="s">
        <v>173</v>
      </c>
      <c r="K1" s="88" t="s">
        <v>174</v>
      </c>
      <c r="L1" s="88" t="s">
        <v>175</v>
      </c>
      <c r="M1" s="88" t="s">
        <v>176</v>
      </c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</row>
    <row r="2" spans="1:52" ht="15" customHeight="1" x14ac:dyDescent="0.2">
      <c r="A2" s="81" t="s">
        <v>5</v>
      </c>
      <c r="B2" s="81">
        <v>2025</v>
      </c>
      <c r="C2" s="81">
        <v>1</v>
      </c>
      <c r="D2" s="81" t="s">
        <v>53</v>
      </c>
      <c r="E2" s="81">
        <v>6</v>
      </c>
      <c r="F2" s="81">
        <v>12</v>
      </c>
      <c r="G2" s="81">
        <v>6</v>
      </c>
      <c r="H2" s="81">
        <v>12</v>
      </c>
      <c r="I2" s="81">
        <f>+tblDotacion[[#This Row],[Operarios fijos planificados]]+tblDotacion[[#This Row],[Operarios temporarios planificados]]</f>
        <v>18</v>
      </c>
      <c r="J2" s="90">
        <v>3.0200000000000001E-2</v>
      </c>
      <c r="K2" s="81">
        <v>2</v>
      </c>
      <c r="L2" s="81">
        <v>2</v>
      </c>
      <c r="M2" s="81">
        <f>+tblDotacion[[#This Row],[Autoelevadores propios]]+tblDotacion[[#This Row],[Autoelevadores alquilados]]</f>
        <v>4</v>
      </c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</row>
    <row r="3" spans="1:52" ht="15" customHeight="1" x14ac:dyDescent="0.2">
      <c r="A3" s="81" t="s">
        <v>5</v>
      </c>
      <c r="B3" s="81">
        <v>2025</v>
      </c>
      <c r="C3" s="81">
        <v>2</v>
      </c>
      <c r="D3" s="81" t="s">
        <v>54</v>
      </c>
      <c r="E3" s="81">
        <v>6</v>
      </c>
      <c r="F3" s="81">
        <v>12</v>
      </c>
      <c r="G3" s="81">
        <v>6</v>
      </c>
      <c r="H3" s="81">
        <v>12</v>
      </c>
      <c r="I3" s="81">
        <f>+tblDotacion[[#This Row],[Operarios fijos planificados]]+tblDotacion[[#This Row],[Operarios temporarios planificados]]</f>
        <v>18</v>
      </c>
      <c r="J3" s="90">
        <v>5.6500000000000002E-2</v>
      </c>
      <c r="K3" s="81">
        <v>2</v>
      </c>
      <c r="L3" s="81">
        <v>2</v>
      </c>
      <c r="M3" s="81">
        <f>+tblDotacion[[#This Row],[Autoelevadores propios]]+tblDotacion[[#This Row],[Autoelevadores alquilados]]</f>
        <v>4</v>
      </c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</row>
    <row r="4" spans="1:52" ht="15" customHeight="1" x14ac:dyDescent="0.2">
      <c r="A4" s="81" t="s">
        <v>5</v>
      </c>
      <c r="B4" s="81">
        <v>2025</v>
      </c>
      <c r="C4" s="81">
        <v>3</v>
      </c>
      <c r="D4" s="81" t="s">
        <v>55</v>
      </c>
      <c r="E4" s="81">
        <v>6</v>
      </c>
      <c r="F4" s="81">
        <v>4</v>
      </c>
      <c r="G4" s="81">
        <v>6</v>
      </c>
      <c r="H4" s="81">
        <v>4</v>
      </c>
      <c r="I4" s="81">
        <f>+tblDotacion[[#This Row],[Operarios fijos planificados]]+tblDotacion[[#This Row],[Operarios temporarios planificados]]</f>
        <v>10</v>
      </c>
      <c r="J4" s="90">
        <v>0.16</v>
      </c>
      <c r="K4" s="81">
        <v>2</v>
      </c>
      <c r="L4" s="81">
        <v>0</v>
      </c>
      <c r="M4" s="81">
        <f>+tblDotacion[[#This Row],[Autoelevadores propios]]+tblDotacion[[#This Row],[Autoelevadores alquilados]]</f>
        <v>2</v>
      </c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</row>
    <row r="5" spans="1:52" ht="15" customHeight="1" x14ac:dyDescent="0.2">
      <c r="A5" s="81" t="s">
        <v>5</v>
      </c>
      <c r="B5" s="81">
        <v>2025</v>
      </c>
      <c r="C5" s="81">
        <v>4</v>
      </c>
      <c r="D5" s="81" t="s">
        <v>56</v>
      </c>
      <c r="E5" s="81">
        <v>6</v>
      </c>
      <c r="F5" s="81">
        <v>0</v>
      </c>
      <c r="G5" s="81"/>
      <c r="H5" s="81"/>
      <c r="I5" s="81">
        <f>+tblDotacion[[#This Row],[Operarios fijos planificados]]+tblDotacion[[#This Row],[Operarios temporarios planificados]]</f>
        <v>6</v>
      </c>
      <c r="J5" s="90">
        <v>0.15579999999999999</v>
      </c>
      <c r="K5" s="81">
        <v>2</v>
      </c>
      <c r="L5" s="81">
        <v>0</v>
      </c>
      <c r="M5" s="81">
        <f>+tblDotacion[[#This Row],[Autoelevadores propios]]+tblDotacion[[#This Row],[Autoelevadores alquilados]]</f>
        <v>2</v>
      </c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</row>
    <row r="6" spans="1:52" ht="15" customHeight="1" x14ac:dyDescent="0.2">
      <c r="A6" s="81" t="s">
        <v>5</v>
      </c>
      <c r="B6" s="81">
        <v>2025</v>
      </c>
      <c r="C6" s="81">
        <v>5</v>
      </c>
      <c r="D6" s="81" t="s">
        <v>57</v>
      </c>
      <c r="E6" s="81">
        <v>6</v>
      </c>
      <c r="F6" s="81">
        <v>0</v>
      </c>
      <c r="G6" s="81"/>
      <c r="H6" s="81"/>
      <c r="I6" s="81">
        <f>+tblDotacion[[#This Row],[Operarios fijos planificados]]+tblDotacion[[#This Row],[Operarios temporarios planificados]]</f>
        <v>6</v>
      </c>
      <c r="J6" s="90">
        <v>2.8000000000000001E-2</v>
      </c>
      <c r="K6" s="81">
        <v>2</v>
      </c>
      <c r="L6" s="81">
        <v>0</v>
      </c>
      <c r="M6" s="81">
        <f>+tblDotacion[[#This Row],[Autoelevadores propios]]+tblDotacion[[#This Row],[Autoelevadores alquilados]]</f>
        <v>2</v>
      </c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</row>
    <row r="7" spans="1:52" ht="15" customHeight="1" x14ac:dyDescent="0.2">
      <c r="A7" s="81" t="s">
        <v>5</v>
      </c>
      <c r="B7" s="81">
        <v>2025</v>
      </c>
      <c r="C7" s="81">
        <v>6</v>
      </c>
      <c r="D7" s="81" t="s">
        <v>58</v>
      </c>
      <c r="E7" s="81">
        <v>6</v>
      </c>
      <c r="F7" s="81">
        <v>0</v>
      </c>
      <c r="G7" s="81"/>
      <c r="H7" s="81"/>
      <c r="I7" s="81">
        <f>+tblDotacion[[#This Row],[Operarios fijos planificados]]+tblDotacion[[#This Row],[Operarios temporarios planificados]]</f>
        <v>6</v>
      </c>
      <c r="J7" s="90">
        <v>1.1900000000000001E-2</v>
      </c>
      <c r="K7" s="81">
        <v>2</v>
      </c>
      <c r="L7" s="81">
        <v>0</v>
      </c>
      <c r="M7" s="81">
        <f>+tblDotacion[[#This Row],[Autoelevadores propios]]+tblDotacion[[#This Row],[Autoelevadores alquilados]]</f>
        <v>2</v>
      </c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</row>
    <row r="8" spans="1:52" ht="15" customHeight="1" x14ac:dyDescent="0.2">
      <c r="A8" s="81" t="s">
        <v>5</v>
      </c>
      <c r="B8" s="81">
        <v>2025</v>
      </c>
      <c r="C8" s="81">
        <v>7</v>
      </c>
      <c r="D8" s="81" t="s">
        <v>59</v>
      </c>
      <c r="E8" s="81">
        <v>6</v>
      </c>
      <c r="F8" s="81">
        <v>0</v>
      </c>
      <c r="G8" s="81"/>
      <c r="H8" s="81"/>
      <c r="I8" s="81">
        <f>+tblDotacion[[#This Row],[Operarios fijos planificados]]+tblDotacion[[#This Row],[Operarios temporarios planificados]]</f>
        <v>6</v>
      </c>
      <c r="J8" s="90">
        <v>2.1000000000000001E-2</v>
      </c>
      <c r="K8" s="81">
        <v>2</v>
      </c>
      <c r="L8" s="81">
        <v>0</v>
      </c>
      <c r="M8" s="81">
        <f>+tblDotacion[[#This Row],[Autoelevadores propios]]+tblDotacion[[#This Row],[Autoelevadores alquilados]]</f>
        <v>2</v>
      </c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</row>
    <row r="9" spans="1:52" ht="15" customHeight="1" x14ac:dyDescent="0.2">
      <c r="A9" s="81" t="s">
        <v>5</v>
      </c>
      <c r="B9" s="81">
        <v>2025</v>
      </c>
      <c r="C9" s="81">
        <v>8</v>
      </c>
      <c r="D9" s="81" t="s">
        <v>60</v>
      </c>
      <c r="E9" s="81">
        <v>6</v>
      </c>
      <c r="F9" s="81">
        <v>0</v>
      </c>
      <c r="G9" s="81"/>
      <c r="H9" s="81"/>
      <c r="I9" s="81">
        <f>+tblDotacion[[#This Row],[Operarios fijos planificados]]+tblDotacion[[#This Row],[Operarios temporarios planificados]]</f>
        <v>6</v>
      </c>
      <c r="J9" s="90">
        <v>2.69E-2</v>
      </c>
      <c r="K9" s="81">
        <v>2</v>
      </c>
      <c r="L9" s="81">
        <v>0</v>
      </c>
      <c r="M9" s="81">
        <f>+tblDotacion[[#This Row],[Autoelevadores propios]]+tblDotacion[[#This Row],[Autoelevadores alquilados]]</f>
        <v>2</v>
      </c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</row>
    <row r="10" spans="1:52" ht="15" customHeight="1" x14ac:dyDescent="0.2">
      <c r="A10" s="81" t="s">
        <v>5</v>
      </c>
      <c r="B10" s="81">
        <v>2025</v>
      </c>
      <c r="C10" s="81">
        <v>9</v>
      </c>
      <c r="D10" s="81" t="s">
        <v>61</v>
      </c>
      <c r="E10" s="81">
        <v>6</v>
      </c>
      <c r="F10" s="81">
        <v>0</v>
      </c>
      <c r="G10" s="81"/>
      <c r="H10" s="81"/>
      <c r="I10" s="81">
        <f>+tblDotacion[[#This Row],[Operarios fijos planificados]]+tblDotacion[[#This Row],[Operarios temporarios planificados]]</f>
        <v>6</v>
      </c>
      <c r="J10" s="90">
        <v>3.4599999999999999E-2</v>
      </c>
      <c r="K10" s="81">
        <v>2</v>
      </c>
      <c r="L10" s="81">
        <v>0</v>
      </c>
      <c r="M10" s="81">
        <f>+tblDotacion[[#This Row],[Autoelevadores propios]]+tblDotacion[[#This Row],[Autoelevadores alquilados]]</f>
        <v>2</v>
      </c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</row>
    <row r="11" spans="1:52" ht="15" customHeight="1" x14ac:dyDescent="0.2">
      <c r="A11" s="81" t="s">
        <v>5</v>
      </c>
      <c r="B11" s="81">
        <v>2025</v>
      </c>
      <c r="C11" s="81">
        <v>10</v>
      </c>
      <c r="D11" s="81" t="s">
        <v>62</v>
      </c>
      <c r="E11" s="81">
        <v>6</v>
      </c>
      <c r="F11" s="81">
        <v>1</v>
      </c>
      <c r="G11" s="81"/>
      <c r="H11" s="81"/>
      <c r="I11" s="81">
        <f>+tblDotacion[[#This Row],[Operarios fijos planificados]]+tblDotacion[[#This Row],[Operarios temporarios planificados]]</f>
        <v>7</v>
      </c>
      <c r="J11" s="90">
        <v>0.12939999999999999</v>
      </c>
      <c r="K11" s="81">
        <v>2</v>
      </c>
      <c r="L11" s="81">
        <v>0</v>
      </c>
      <c r="M11" s="81">
        <f>+tblDotacion[[#This Row],[Autoelevadores propios]]+tblDotacion[[#This Row],[Autoelevadores alquilados]]</f>
        <v>2</v>
      </c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</row>
    <row r="12" spans="1:52" ht="15" customHeight="1" x14ac:dyDescent="0.2">
      <c r="A12" s="81" t="s">
        <v>5</v>
      </c>
      <c r="B12" s="81">
        <v>2025</v>
      </c>
      <c r="C12" s="81">
        <v>11</v>
      </c>
      <c r="D12" s="81" t="s">
        <v>63</v>
      </c>
      <c r="E12" s="81">
        <v>6</v>
      </c>
      <c r="F12" s="81">
        <v>4</v>
      </c>
      <c r="G12" s="81"/>
      <c r="H12" s="81"/>
      <c r="I12" s="81">
        <f>+tblDotacion[[#This Row],[Operarios fijos planificados]]+tblDotacion[[#This Row],[Operarios temporarios planificados]]</f>
        <v>10</v>
      </c>
      <c r="J12" s="90">
        <v>6.8199999999999997E-2</v>
      </c>
      <c r="K12" s="81">
        <v>2</v>
      </c>
      <c r="L12" s="81">
        <v>0</v>
      </c>
      <c r="M12" s="81">
        <f>+tblDotacion[[#This Row],[Autoelevadores propios]]+tblDotacion[[#This Row],[Autoelevadores alquilados]]</f>
        <v>2</v>
      </c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</row>
    <row r="13" spans="1:52" ht="15" customHeight="1" x14ac:dyDescent="0.2">
      <c r="A13" s="81" t="s">
        <v>5</v>
      </c>
      <c r="B13" s="81">
        <v>2025</v>
      </c>
      <c r="C13" s="81">
        <v>12</v>
      </c>
      <c r="D13" s="81" t="s">
        <v>64</v>
      </c>
      <c r="E13" s="81">
        <v>6</v>
      </c>
      <c r="F13" s="81">
        <v>4</v>
      </c>
      <c r="G13" s="81"/>
      <c r="H13" s="81"/>
      <c r="I13" s="81">
        <f>+tblDotacion[[#This Row],[Operarios fijos planificados]]+tblDotacion[[#This Row],[Operarios temporarios planificados]]</f>
        <v>10</v>
      </c>
      <c r="J13" s="90">
        <v>0.1333</v>
      </c>
      <c r="K13" s="81">
        <v>2</v>
      </c>
      <c r="L13" s="81">
        <v>2</v>
      </c>
      <c r="M13" s="81">
        <f>+tblDotacion[[#This Row],[Autoelevadores propios]]+tblDotacion[[#This Row],[Autoelevadores alquilados]]</f>
        <v>4</v>
      </c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</row>
    <row r="14" spans="1:52" ht="15" customHeight="1" x14ac:dyDescent="0.2">
      <c r="A14" s="81" t="s">
        <v>5</v>
      </c>
      <c r="B14" s="81">
        <v>2026</v>
      </c>
      <c r="C14" s="81">
        <v>1</v>
      </c>
      <c r="D14" s="81" t="s">
        <v>53</v>
      </c>
      <c r="E14" s="81">
        <v>6</v>
      </c>
      <c r="F14" s="81">
        <v>12</v>
      </c>
      <c r="G14" s="81">
        <v>6</v>
      </c>
      <c r="H14" s="81">
        <v>12</v>
      </c>
      <c r="I14" s="81">
        <f>+tblDotacion[[#This Row],[Operarios fijos planificados]]+tblDotacion[[#This Row],[Operarios temporarios planificados]]</f>
        <v>18</v>
      </c>
      <c r="J14" s="90">
        <v>2.7199999999999998E-2</v>
      </c>
      <c r="K14" s="81">
        <v>2</v>
      </c>
      <c r="L14" s="81">
        <v>2</v>
      </c>
      <c r="M14" s="81">
        <f>+tblDotacion[[#This Row],[Autoelevadores propios]]+tblDotacion[[#This Row],[Autoelevadores alquilados]]</f>
        <v>4</v>
      </c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</row>
    <row r="15" spans="1:52" ht="15" customHeight="1" x14ac:dyDescent="0.2">
      <c r="A15" s="81" t="s">
        <v>5</v>
      </c>
      <c r="B15" s="81">
        <v>2026</v>
      </c>
      <c r="C15" s="81">
        <v>2</v>
      </c>
      <c r="D15" s="81" t="s">
        <v>54</v>
      </c>
      <c r="E15" s="81">
        <v>6</v>
      </c>
      <c r="F15" s="81">
        <v>12</v>
      </c>
      <c r="G15" s="81">
        <v>6</v>
      </c>
      <c r="H15" s="81">
        <v>12</v>
      </c>
      <c r="I15" s="81">
        <f>+tblDotacion[[#This Row],[Operarios fijos planificados]]+tblDotacion[[#This Row],[Operarios temporarios planificados]]</f>
        <v>18</v>
      </c>
      <c r="J15" s="90">
        <v>3.4200000000000001E-2</v>
      </c>
      <c r="K15" s="81">
        <v>2</v>
      </c>
      <c r="L15" s="81">
        <v>2</v>
      </c>
      <c r="M15" s="81">
        <f>+tblDotacion[[#This Row],[Autoelevadores propios]]+tblDotacion[[#This Row],[Autoelevadores alquilados]]</f>
        <v>4</v>
      </c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</row>
    <row r="16" spans="1:52" ht="15" customHeight="1" x14ac:dyDescent="0.2">
      <c r="A16" s="81" t="s">
        <v>5</v>
      </c>
      <c r="B16" s="81">
        <v>2026</v>
      </c>
      <c r="C16" s="81">
        <v>3</v>
      </c>
      <c r="D16" s="81" t="s">
        <v>55</v>
      </c>
      <c r="E16" s="81">
        <v>6</v>
      </c>
      <c r="F16" s="81">
        <v>4</v>
      </c>
      <c r="G16" s="81">
        <v>6</v>
      </c>
      <c r="H16" s="81">
        <v>4</v>
      </c>
      <c r="I16" s="81">
        <f>+tblDotacion[[#This Row],[Operarios fijos planificados]]+tblDotacion[[#This Row],[Operarios temporarios planificados]]</f>
        <v>10</v>
      </c>
      <c r="J16" s="90">
        <v>3.3000000000000002E-2</v>
      </c>
      <c r="K16" s="81">
        <v>2</v>
      </c>
      <c r="L16" s="81">
        <v>0</v>
      </c>
      <c r="M16" s="81">
        <f>+tblDotacion[[#This Row],[Autoelevadores propios]]+tblDotacion[[#This Row],[Autoelevadores alquilados]]</f>
        <v>2</v>
      </c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</row>
    <row r="17" spans="1:52" ht="15" customHeight="1" x14ac:dyDescent="0.2">
      <c r="A17" s="81" t="s">
        <v>5</v>
      </c>
      <c r="B17" s="81">
        <v>2026</v>
      </c>
      <c r="C17" s="81">
        <v>4</v>
      </c>
      <c r="D17" s="81" t="s">
        <v>56</v>
      </c>
      <c r="E17" s="81">
        <v>6</v>
      </c>
      <c r="F17" s="81">
        <v>0</v>
      </c>
      <c r="G17" s="81"/>
      <c r="H17" s="81"/>
      <c r="I17" s="81">
        <f>+tblDotacion[[#This Row],[Operarios fijos planificados]]+tblDotacion[[#This Row],[Operarios temporarios planificados]]</f>
        <v>6</v>
      </c>
      <c r="J17" s="90">
        <v>5.8700000000000002E-2</v>
      </c>
      <c r="K17" s="81">
        <v>2</v>
      </c>
      <c r="L17" s="81">
        <v>0</v>
      </c>
      <c r="M17" s="81">
        <f>+tblDotacion[[#This Row],[Autoelevadores propios]]+tblDotacion[[#This Row],[Autoelevadores alquilados]]</f>
        <v>2</v>
      </c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</row>
    <row r="18" spans="1:52" ht="15" customHeight="1" x14ac:dyDescent="0.2">
      <c r="A18" s="81" t="s">
        <v>5</v>
      </c>
      <c r="B18" s="81">
        <v>2026</v>
      </c>
      <c r="C18" s="81">
        <v>5</v>
      </c>
      <c r="D18" s="81" t="s">
        <v>57</v>
      </c>
      <c r="E18" s="81">
        <v>6</v>
      </c>
      <c r="F18" s="81">
        <v>0</v>
      </c>
      <c r="G18" s="81"/>
      <c r="H18" s="81"/>
      <c r="I18" s="81">
        <f>+tblDotacion[[#This Row],[Operarios fijos planificados]]+tblDotacion[[#This Row],[Operarios temporarios planificados]]</f>
        <v>6</v>
      </c>
      <c r="J18" s="90">
        <v>3.8300000000000001E-2</v>
      </c>
      <c r="K18" s="81">
        <v>2</v>
      </c>
      <c r="L18" s="81">
        <v>0</v>
      </c>
      <c r="M18" s="81">
        <f>+tblDotacion[[#This Row],[Autoelevadores propios]]+tblDotacion[[#This Row],[Autoelevadores alquilados]]</f>
        <v>2</v>
      </c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</row>
    <row r="19" spans="1:52" ht="15" customHeight="1" x14ac:dyDescent="0.2">
      <c r="A19" s="81" t="s">
        <v>5</v>
      </c>
      <c r="B19" s="81">
        <v>2026</v>
      </c>
      <c r="C19" s="81">
        <v>6</v>
      </c>
      <c r="D19" s="81" t="s">
        <v>58</v>
      </c>
      <c r="E19" s="81">
        <v>6</v>
      </c>
      <c r="F19" s="81">
        <v>0</v>
      </c>
      <c r="G19" s="81"/>
      <c r="H19" s="81"/>
      <c r="I19" s="81">
        <f>+tblDotacion[[#This Row],[Operarios fijos planificados]]+tblDotacion[[#This Row],[Operarios temporarios planificados]]</f>
        <v>6</v>
      </c>
      <c r="J19" s="90">
        <v>3.8300000000000001E-2</v>
      </c>
      <c r="K19" s="81">
        <v>2</v>
      </c>
      <c r="L19" s="81">
        <v>0</v>
      </c>
      <c r="M19" s="81">
        <f>+tblDotacion[[#This Row],[Autoelevadores propios]]+tblDotacion[[#This Row],[Autoelevadores alquilados]]</f>
        <v>2</v>
      </c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</row>
    <row r="20" spans="1:52" ht="15" customHeight="1" x14ac:dyDescent="0.2">
      <c r="A20" s="81" t="s">
        <v>5</v>
      </c>
      <c r="B20" s="81">
        <v>2026</v>
      </c>
      <c r="C20" s="81">
        <v>7</v>
      </c>
      <c r="D20" s="81" t="s">
        <v>59</v>
      </c>
      <c r="E20" s="81">
        <v>6</v>
      </c>
      <c r="F20" s="81">
        <v>0</v>
      </c>
      <c r="G20" s="81"/>
      <c r="H20" s="81"/>
      <c r="I20" s="81">
        <f>+tblDotacion[[#This Row],[Operarios fijos planificados]]+tblDotacion[[#This Row],[Operarios temporarios planificados]]</f>
        <v>6</v>
      </c>
      <c r="J20" s="90">
        <v>3.8300000000000001E-2</v>
      </c>
      <c r="K20" s="81">
        <v>2</v>
      </c>
      <c r="L20" s="81">
        <v>0</v>
      </c>
      <c r="M20" s="81">
        <f>+tblDotacion[[#This Row],[Autoelevadores propios]]+tblDotacion[[#This Row],[Autoelevadores alquilados]]</f>
        <v>2</v>
      </c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</row>
    <row r="21" spans="1:52" ht="15" customHeight="1" x14ac:dyDescent="0.2">
      <c r="A21" s="81" t="s">
        <v>5</v>
      </c>
      <c r="B21" s="81">
        <v>2026</v>
      </c>
      <c r="C21" s="81">
        <v>8</v>
      </c>
      <c r="D21" s="81" t="s">
        <v>60</v>
      </c>
      <c r="E21" s="81">
        <v>6</v>
      </c>
      <c r="F21" s="81">
        <v>0</v>
      </c>
      <c r="G21" s="81"/>
      <c r="H21" s="81"/>
      <c r="I21" s="81">
        <f>+tblDotacion[[#This Row],[Operarios fijos planificados]]+tblDotacion[[#This Row],[Operarios temporarios planificados]]</f>
        <v>6</v>
      </c>
      <c r="J21" s="90">
        <v>3.8300000000000001E-2</v>
      </c>
      <c r="K21" s="81">
        <v>2</v>
      </c>
      <c r="L21" s="81">
        <v>0</v>
      </c>
      <c r="M21" s="81">
        <f>+tblDotacion[[#This Row],[Autoelevadores propios]]+tblDotacion[[#This Row],[Autoelevadores alquilados]]</f>
        <v>2</v>
      </c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</row>
    <row r="22" spans="1:52" ht="15" customHeight="1" x14ac:dyDescent="0.2">
      <c r="A22" s="81" t="s">
        <v>5</v>
      </c>
      <c r="B22" s="81">
        <v>2026</v>
      </c>
      <c r="C22" s="81">
        <v>9</v>
      </c>
      <c r="D22" s="81" t="s">
        <v>61</v>
      </c>
      <c r="E22" s="81">
        <v>6</v>
      </c>
      <c r="F22" s="81">
        <v>0</v>
      </c>
      <c r="G22" s="81"/>
      <c r="H22" s="81"/>
      <c r="I22" s="81">
        <f>+tblDotacion[[#This Row],[Operarios fijos planificados]]+tblDotacion[[#This Row],[Operarios temporarios planificados]]</f>
        <v>6</v>
      </c>
      <c r="J22" s="90">
        <v>3.8300000000000001E-2</v>
      </c>
      <c r="K22" s="81">
        <v>2</v>
      </c>
      <c r="L22" s="81">
        <v>0</v>
      </c>
      <c r="M22" s="81">
        <f>+tblDotacion[[#This Row],[Autoelevadores propios]]+tblDotacion[[#This Row],[Autoelevadores alquilados]]</f>
        <v>2</v>
      </c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</row>
    <row r="23" spans="1:52" ht="15" customHeight="1" x14ac:dyDescent="0.2">
      <c r="A23" s="81" t="s">
        <v>5</v>
      </c>
      <c r="B23" s="81">
        <v>2026</v>
      </c>
      <c r="C23" s="81">
        <v>10</v>
      </c>
      <c r="D23" s="81" t="s">
        <v>62</v>
      </c>
      <c r="E23" s="81">
        <v>6</v>
      </c>
      <c r="F23" s="81">
        <v>1</v>
      </c>
      <c r="G23" s="81"/>
      <c r="H23" s="81"/>
      <c r="I23" s="81">
        <f>+tblDotacion[[#This Row],[Operarios fijos planificados]]+tblDotacion[[#This Row],[Operarios temporarios planificados]]</f>
        <v>7</v>
      </c>
      <c r="J23" s="90">
        <v>3.8300000000000001E-2</v>
      </c>
      <c r="K23" s="81">
        <v>2</v>
      </c>
      <c r="L23" s="81">
        <v>0</v>
      </c>
      <c r="M23" s="81">
        <f>+tblDotacion[[#This Row],[Autoelevadores propios]]+tblDotacion[[#This Row],[Autoelevadores alquilados]]</f>
        <v>2</v>
      </c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</row>
    <row r="24" spans="1:52" ht="15" customHeight="1" x14ac:dyDescent="0.2">
      <c r="A24" s="81" t="s">
        <v>5</v>
      </c>
      <c r="B24" s="81">
        <v>2026</v>
      </c>
      <c r="C24" s="81">
        <v>11</v>
      </c>
      <c r="D24" s="81" t="s">
        <v>63</v>
      </c>
      <c r="E24" s="81">
        <v>6</v>
      </c>
      <c r="F24" s="81">
        <v>4</v>
      </c>
      <c r="G24" s="81"/>
      <c r="H24" s="81"/>
      <c r="I24" s="81">
        <f>+tblDotacion[[#This Row],[Operarios fijos planificados]]+tblDotacion[[#This Row],[Operarios temporarios planificados]]</f>
        <v>10</v>
      </c>
      <c r="J24" s="90">
        <v>3.8300000000000001E-2</v>
      </c>
      <c r="K24" s="81">
        <v>2</v>
      </c>
      <c r="L24" s="81">
        <v>0</v>
      </c>
      <c r="M24" s="81">
        <f>+tblDotacion[[#This Row],[Autoelevadores propios]]+tblDotacion[[#This Row],[Autoelevadores alquilados]]</f>
        <v>2</v>
      </c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</row>
    <row r="25" spans="1:52" ht="15" customHeight="1" x14ac:dyDescent="0.2">
      <c r="A25" s="81" t="s">
        <v>5</v>
      </c>
      <c r="B25" s="81">
        <v>2026</v>
      </c>
      <c r="C25" s="81">
        <v>12</v>
      </c>
      <c r="D25" s="81" t="s">
        <v>64</v>
      </c>
      <c r="E25" s="81">
        <v>6</v>
      </c>
      <c r="F25" s="81">
        <v>4</v>
      </c>
      <c r="G25" s="81"/>
      <c r="H25" s="81"/>
      <c r="I25" s="81">
        <f>+tblDotacion[[#This Row],[Operarios fijos planificados]]+tblDotacion[[#This Row],[Operarios temporarios planificados]]</f>
        <v>10</v>
      </c>
      <c r="J25" s="90">
        <v>3.8300000000000001E-2</v>
      </c>
      <c r="K25" s="81">
        <v>2</v>
      </c>
      <c r="L25" s="81">
        <v>2</v>
      </c>
      <c r="M25" s="81">
        <f>+tblDotacion[[#This Row],[Autoelevadores propios]]+tblDotacion[[#This Row],[Autoelevadores alquilados]]</f>
        <v>4</v>
      </c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</row>
    <row r="26" spans="1:52" ht="15" customHeight="1" x14ac:dyDescent="0.2">
      <c r="A26" s="81" t="s">
        <v>126</v>
      </c>
      <c r="B26" s="81">
        <v>2025</v>
      </c>
      <c r="C26" s="81">
        <v>1</v>
      </c>
      <c r="D26" s="81" t="s">
        <v>53</v>
      </c>
      <c r="E26" s="81">
        <v>2</v>
      </c>
      <c r="F26" s="81">
        <v>0</v>
      </c>
      <c r="G26" s="81"/>
      <c r="H26" s="81"/>
      <c r="I26" s="81">
        <f>+tblDotacion[[#This Row],[Operarios fijos planificados]]+tblDotacion[[#This Row],[Operarios temporarios planificados]]</f>
        <v>2</v>
      </c>
      <c r="J26" s="90">
        <v>3.0200000000000001E-2</v>
      </c>
      <c r="K26" s="81">
        <v>1</v>
      </c>
      <c r="L26" s="81">
        <v>0</v>
      </c>
      <c r="M26" s="81">
        <f>+tblDotacion[[#This Row],[Autoelevadores propios]]+tblDotacion[[#This Row],[Autoelevadores alquilados]]</f>
        <v>1</v>
      </c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</row>
    <row r="27" spans="1:52" ht="15" customHeight="1" x14ac:dyDescent="0.2">
      <c r="A27" s="81" t="s">
        <v>126</v>
      </c>
      <c r="B27" s="81">
        <v>2025</v>
      </c>
      <c r="C27" s="81">
        <v>2</v>
      </c>
      <c r="D27" s="81" t="s">
        <v>54</v>
      </c>
      <c r="E27" s="81">
        <v>2</v>
      </c>
      <c r="F27" s="81">
        <v>0</v>
      </c>
      <c r="G27" s="81"/>
      <c r="H27" s="81"/>
      <c r="I27" s="81">
        <f>+tblDotacion[[#This Row],[Operarios fijos planificados]]+tblDotacion[[#This Row],[Operarios temporarios planificados]]</f>
        <v>2</v>
      </c>
      <c r="J27" s="90">
        <v>5.6500000000000002E-2</v>
      </c>
      <c r="K27" s="81">
        <v>1</v>
      </c>
      <c r="L27" s="81">
        <v>0</v>
      </c>
      <c r="M27" s="81">
        <f>+tblDotacion[[#This Row],[Autoelevadores propios]]+tblDotacion[[#This Row],[Autoelevadores alquilados]]</f>
        <v>1</v>
      </c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</row>
    <row r="28" spans="1:52" ht="15" customHeight="1" x14ac:dyDescent="0.2">
      <c r="A28" s="81" t="s">
        <v>126</v>
      </c>
      <c r="B28" s="81">
        <v>2025</v>
      </c>
      <c r="C28" s="81">
        <v>3</v>
      </c>
      <c r="D28" s="81" t="s">
        <v>55</v>
      </c>
      <c r="E28" s="81">
        <v>2</v>
      </c>
      <c r="F28" s="81">
        <v>0</v>
      </c>
      <c r="G28" s="81"/>
      <c r="H28" s="81"/>
      <c r="I28" s="81">
        <f>+tblDotacion[[#This Row],[Operarios fijos planificados]]+tblDotacion[[#This Row],[Operarios temporarios planificados]]</f>
        <v>2</v>
      </c>
      <c r="J28" s="90">
        <v>0.16</v>
      </c>
      <c r="K28" s="81">
        <v>1</v>
      </c>
      <c r="L28" s="81">
        <v>0</v>
      </c>
      <c r="M28" s="81">
        <f>+tblDotacion[[#This Row],[Autoelevadores propios]]+tblDotacion[[#This Row],[Autoelevadores alquilados]]</f>
        <v>1</v>
      </c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</row>
    <row r="29" spans="1:52" ht="15" customHeight="1" x14ac:dyDescent="0.2">
      <c r="A29" s="81" t="s">
        <v>126</v>
      </c>
      <c r="B29" s="81">
        <v>2025</v>
      </c>
      <c r="C29" s="81">
        <v>4</v>
      </c>
      <c r="D29" s="81" t="s">
        <v>56</v>
      </c>
      <c r="E29" s="81">
        <v>2</v>
      </c>
      <c r="F29" s="81">
        <v>0</v>
      </c>
      <c r="G29" s="81"/>
      <c r="H29" s="81"/>
      <c r="I29" s="81">
        <f>+tblDotacion[[#This Row],[Operarios fijos planificados]]+tblDotacion[[#This Row],[Operarios temporarios planificados]]</f>
        <v>2</v>
      </c>
      <c r="J29" s="90">
        <v>0.15579999999999999</v>
      </c>
      <c r="K29" s="81">
        <v>1</v>
      </c>
      <c r="L29" s="81">
        <v>0</v>
      </c>
      <c r="M29" s="81">
        <f>+tblDotacion[[#This Row],[Autoelevadores propios]]+tblDotacion[[#This Row],[Autoelevadores alquilados]]</f>
        <v>1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</row>
    <row r="30" spans="1:52" ht="15" customHeight="1" x14ac:dyDescent="0.2">
      <c r="A30" s="81" t="s">
        <v>126</v>
      </c>
      <c r="B30" s="81">
        <v>2025</v>
      </c>
      <c r="C30" s="81">
        <v>5</v>
      </c>
      <c r="D30" s="81" t="s">
        <v>57</v>
      </c>
      <c r="E30" s="81">
        <v>2</v>
      </c>
      <c r="F30" s="81">
        <v>0</v>
      </c>
      <c r="G30" s="81"/>
      <c r="H30" s="81"/>
      <c r="I30" s="81">
        <f>+tblDotacion[[#This Row],[Operarios fijos planificados]]+tblDotacion[[#This Row],[Operarios temporarios planificados]]</f>
        <v>2</v>
      </c>
      <c r="J30" s="90">
        <v>2.8000000000000001E-2</v>
      </c>
      <c r="K30" s="81">
        <v>1</v>
      </c>
      <c r="L30" s="81">
        <v>0</v>
      </c>
      <c r="M30" s="81">
        <f>+tblDotacion[[#This Row],[Autoelevadores propios]]+tblDotacion[[#This Row],[Autoelevadores alquilados]]</f>
        <v>1</v>
      </c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</row>
    <row r="31" spans="1:52" ht="15" customHeight="1" x14ac:dyDescent="0.2">
      <c r="A31" s="81" t="s">
        <v>126</v>
      </c>
      <c r="B31" s="81">
        <v>2025</v>
      </c>
      <c r="C31" s="81">
        <v>6</v>
      </c>
      <c r="D31" s="81" t="s">
        <v>58</v>
      </c>
      <c r="E31" s="81">
        <v>2</v>
      </c>
      <c r="F31" s="81">
        <v>0</v>
      </c>
      <c r="G31" s="81"/>
      <c r="H31" s="81"/>
      <c r="I31" s="81">
        <f>+tblDotacion[[#This Row],[Operarios fijos planificados]]+tblDotacion[[#This Row],[Operarios temporarios planificados]]</f>
        <v>2</v>
      </c>
      <c r="J31" s="90">
        <v>1.1900000000000001E-2</v>
      </c>
      <c r="K31" s="81">
        <v>1</v>
      </c>
      <c r="L31" s="81">
        <v>0</v>
      </c>
      <c r="M31" s="81">
        <f>+tblDotacion[[#This Row],[Autoelevadores propios]]+tblDotacion[[#This Row],[Autoelevadores alquilados]]</f>
        <v>1</v>
      </c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</row>
    <row r="32" spans="1:52" ht="15" customHeight="1" x14ac:dyDescent="0.2">
      <c r="A32" s="81" t="s">
        <v>126</v>
      </c>
      <c r="B32" s="81">
        <v>2025</v>
      </c>
      <c r="C32" s="81">
        <v>7</v>
      </c>
      <c r="D32" s="81" t="s">
        <v>59</v>
      </c>
      <c r="E32" s="81">
        <v>2</v>
      </c>
      <c r="F32" s="81">
        <v>0</v>
      </c>
      <c r="G32" s="81"/>
      <c r="H32" s="81"/>
      <c r="I32" s="81">
        <f>+tblDotacion[[#This Row],[Operarios fijos planificados]]+tblDotacion[[#This Row],[Operarios temporarios planificados]]</f>
        <v>2</v>
      </c>
      <c r="J32" s="90">
        <v>2.1000000000000001E-2</v>
      </c>
      <c r="K32" s="81">
        <v>1</v>
      </c>
      <c r="L32" s="81">
        <v>0</v>
      </c>
      <c r="M32" s="81">
        <f>+tblDotacion[[#This Row],[Autoelevadores propios]]+tblDotacion[[#This Row],[Autoelevadores alquilados]]</f>
        <v>1</v>
      </c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</row>
    <row r="33" spans="1:52" ht="15" customHeight="1" x14ac:dyDescent="0.2">
      <c r="A33" s="81" t="s">
        <v>126</v>
      </c>
      <c r="B33" s="81">
        <v>2025</v>
      </c>
      <c r="C33" s="81">
        <v>8</v>
      </c>
      <c r="D33" s="81" t="s">
        <v>60</v>
      </c>
      <c r="E33" s="81">
        <v>2</v>
      </c>
      <c r="F33" s="81">
        <v>0</v>
      </c>
      <c r="G33" s="81"/>
      <c r="H33" s="81"/>
      <c r="I33" s="81">
        <f>+tblDotacion[[#This Row],[Operarios fijos planificados]]+tblDotacion[[#This Row],[Operarios temporarios planificados]]</f>
        <v>2</v>
      </c>
      <c r="J33" s="90">
        <v>2.69E-2</v>
      </c>
      <c r="K33" s="81">
        <v>1</v>
      </c>
      <c r="L33" s="81">
        <v>0</v>
      </c>
      <c r="M33" s="81">
        <f>+tblDotacion[[#This Row],[Autoelevadores propios]]+tblDotacion[[#This Row],[Autoelevadores alquilados]]</f>
        <v>1</v>
      </c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</row>
    <row r="34" spans="1:52" ht="15" customHeight="1" x14ac:dyDescent="0.2">
      <c r="A34" s="81" t="s">
        <v>126</v>
      </c>
      <c r="B34" s="81">
        <v>2025</v>
      </c>
      <c r="C34" s="81">
        <v>9</v>
      </c>
      <c r="D34" s="81" t="s">
        <v>61</v>
      </c>
      <c r="E34" s="81">
        <v>2</v>
      </c>
      <c r="F34" s="81">
        <v>0</v>
      </c>
      <c r="G34" s="81"/>
      <c r="H34" s="81"/>
      <c r="I34" s="81">
        <f>+tblDotacion[[#This Row],[Operarios fijos planificados]]+tblDotacion[[#This Row],[Operarios temporarios planificados]]</f>
        <v>2</v>
      </c>
      <c r="J34" s="90">
        <v>3.4599999999999999E-2</v>
      </c>
      <c r="K34" s="81">
        <v>1</v>
      </c>
      <c r="L34" s="81">
        <v>0</v>
      </c>
      <c r="M34" s="81">
        <f>+tblDotacion[[#This Row],[Autoelevadores propios]]+tblDotacion[[#This Row],[Autoelevadores alquilados]]</f>
        <v>1</v>
      </c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</row>
    <row r="35" spans="1:52" ht="15" customHeight="1" x14ac:dyDescent="0.2">
      <c r="A35" s="81" t="s">
        <v>126</v>
      </c>
      <c r="B35" s="81">
        <v>2025</v>
      </c>
      <c r="C35" s="81">
        <v>10</v>
      </c>
      <c r="D35" s="81" t="s">
        <v>62</v>
      </c>
      <c r="E35" s="81">
        <v>2</v>
      </c>
      <c r="F35" s="81">
        <v>0</v>
      </c>
      <c r="G35" s="81"/>
      <c r="H35" s="81"/>
      <c r="I35" s="81">
        <f>+tblDotacion[[#This Row],[Operarios fijos planificados]]+tblDotacion[[#This Row],[Operarios temporarios planificados]]</f>
        <v>2</v>
      </c>
      <c r="J35" s="90">
        <v>0.12939999999999999</v>
      </c>
      <c r="K35" s="81">
        <v>1</v>
      </c>
      <c r="L35" s="81">
        <v>0</v>
      </c>
      <c r="M35" s="81">
        <f>+tblDotacion[[#This Row],[Autoelevadores propios]]+tblDotacion[[#This Row],[Autoelevadores alquilados]]</f>
        <v>1</v>
      </c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</row>
    <row r="36" spans="1:52" ht="15" customHeight="1" x14ac:dyDescent="0.2">
      <c r="A36" s="81" t="s">
        <v>126</v>
      </c>
      <c r="B36" s="81">
        <v>2025</v>
      </c>
      <c r="C36" s="81">
        <v>11</v>
      </c>
      <c r="D36" s="81" t="s">
        <v>63</v>
      </c>
      <c r="E36" s="81">
        <v>2</v>
      </c>
      <c r="F36" s="81">
        <v>0</v>
      </c>
      <c r="G36" s="81"/>
      <c r="H36" s="81"/>
      <c r="I36" s="81">
        <f>+tblDotacion[[#This Row],[Operarios fijos planificados]]+tblDotacion[[#This Row],[Operarios temporarios planificados]]</f>
        <v>2</v>
      </c>
      <c r="J36" s="90">
        <v>6.8199999999999997E-2</v>
      </c>
      <c r="K36" s="81">
        <v>1</v>
      </c>
      <c r="L36" s="81">
        <v>0</v>
      </c>
      <c r="M36" s="81">
        <f>+tblDotacion[[#This Row],[Autoelevadores propios]]+tblDotacion[[#This Row],[Autoelevadores alquilados]]</f>
        <v>1</v>
      </c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</row>
    <row r="37" spans="1:52" ht="15" customHeight="1" x14ac:dyDescent="0.2">
      <c r="A37" s="81" t="s">
        <v>126</v>
      </c>
      <c r="B37" s="81">
        <v>2025</v>
      </c>
      <c r="C37" s="81">
        <v>12</v>
      </c>
      <c r="D37" s="81" t="s">
        <v>64</v>
      </c>
      <c r="E37" s="81">
        <v>2</v>
      </c>
      <c r="F37" s="81">
        <v>0</v>
      </c>
      <c r="G37" s="81"/>
      <c r="H37" s="81"/>
      <c r="I37" s="81">
        <f>+tblDotacion[[#This Row],[Operarios fijos planificados]]+tblDotacion[[#This Row],[Operarios temporarios planificados]]</f>
        <v>2</v>
      </c>
      <c r="J37" s="90">
        <v>0.1333</v>
      </c>
      <c r="K37" s="81">
        <v>1</v>
      </c>
      <c r="L37" s="81">
        <v>0</v>
      </c>
      <c r="M37" s="81">
        <f>+tblDotacion[[#This Row],[Autoelevadores propios]]+tblDotacion[[#This Row],[Autoelevadores alquilados]]</f>
        <v>1</v>
      </c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</row>
    <row r="38" spans="1:52" ht="15" customHeight="1" x14ac:dyDescent="0.2">
      <c r="A38" s="81" t="s">
        <v>126</v>
      </c>
      <c r="B38" s="81">
        <v>2026</v>
      </c>
      <c r="C38" s="81">
        <v>1</v>
      </c>
      <c r="D38" s="81" t="s">
        <v>53</v>
      </c>
      <c r="E38" s="81">
        <v>2</v>
      </c>
      <c r="F38" s="81">
        <v>0</v>
      </c>
      <c r="G38" s="81"/>
      <c r="H38" s="81"/>
      <c r="I38" s="81">
        <f>+tblDotacion[[#This Row],[Operarios fijos planificados]]+tblDotacion[[#This Row],[Operarios temporarios planificados]]</f>
        <v>2</v>
      </c>
      <c r="J38" s="90">
        <v>2.7199999999999998E-2</v>
      </c>
      <c r="K38" s="81">
        <v>1</v>
      </c>
      <c r="L38" s="81">
        <v>0</v>
      </c>
      <c r="M38" s="81">
        <f>+tblDotacion[[#This Row],[Autoelevadores propios]]+tblDotacion[[#This Row],[Autoelevadores alquilados]]</f>
        <v>1</v>
      </c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</row>
    <row r="39" spans="1:52" ht="15" customHeight="1" x14ac:dyDescent="0.2">
      <c r="A39" s="81" t="s">
        <v>126</v>
      </c>
      <c r="B39" s="81">
        <v>2026</v>
      </c>
      <c r="C39" s="81">
        <v>2</v>
      </c>
      <c r="D39" s="81" t="s">
        <v>54</v>
      </c>
      <c r="E39" s="81">
        <v>2</v>
      </c>
      <c r="F39" s="81">
        <v>0</v>
      </c>
      <c r="G39" s="81"/>
      <c r="H39" s="81"/>
      <c r="I39" s="81">
        <f>+tblDotacion[[#This Row],[Operarios fijos planificados]]+tblDotacion[[#This Row],[Operarios temporarios planificados]]</f>
        <v>2</v>
      </c>
      <c r="J39" s="90">
        <v>3.4200000000000001E-2</v>
      </c>
      <c r="K39" s="81">
        <v>1</v>
      </c>
      <c r="L39" s="81">
        <v>0</v>
      </c>
      <c r="M39" s="81">
        <f>+tblDotacion[[#This Row],[Autoelevadores propios]]+tblDotacion[[#This Row],[Autoelevadores alquilados]]</f>
        <v>1</v>
      </c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</row>
    <row r="40" spans="1:52" ht="15" customHeight="1" x14ac:dyDescent="0.2">
      <c r="A40" s="81" t="s">
        <v>126</v>
      </c>
      <c r="B40" s="81">
        <v>2026</v>
      </c>
      <c r="C40" s="81">
        <v>3</v>
      </c>
      <c r="D40" s="81" t="s">
        <v>55</v>
      </c>
      <c r="E40" s="81">
        <v>2</v>
      </c>
      <c r="F40" s="81">
        <v>0</v>
      </c>
      <c r="G40" s="81"/>
      <c r="H40" s="81"/>
      <c r="I40" s="81">
        <f>+tblDotacion[[#This Row],[Operarios fijos planificados]]+tblDotacion[[#This Row],[Operarios temporarios planificados]]</f>
        <v>2</v>
      </c>
      <c r="J40" s="90">
        <v>3.3000000000000002E-2</v>
      </c>
      <c r="K40" s="81">
        <v>1</v>
      </c>
      <c r="L40" s="81">
        <v>0</v>
      </c>
      <c r="M40" s="81">
        <f>+tblDotacion[[#This Row],[Autoelevadores propios]]+tblDotacion[[#This Row],[Autoelevadores alquilados]]</f>
        <v>1</v>
      </c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</row>
    <row r="41" spans="1:52" ht="15" customHeight="1" x14ac:dyDescent="0.2">
      <c r="A41" s="81" t="s">
        <v>126</v>
      </c>
      <c r="B41" s="81">
        <v>2026</v>
      </c>
      <c r="C41" s="81">
        <v>4</v>
      </c>
      <c r="D41" s="81" t="s">
        <v>56</v>
      </c>
      <c r="E41" s="81">
        <v>2</v>
      </c>
      <c r="F41" s="81">
        <v>0</v>
      </c>
      <c r="G41" s="81"/>
      <c r="H41" s="81"/>
      <c r="I41" s="81">
        <f>+tblDotacion[[#This Row],[Operarios fijos planificados]]+tblDotacion[[#This Row],[Operarios temporarios planificados]]</f>
        <v>2</v>
      </c>
      <c r="J41" s="90">
        <v>5.8700000000000002E-2</v>
      </c>
      <c r="K41" s="81">
        <v>1</v>
      </c>
      <c r="L41" s="81">
        <v>0</v>
      </c>
      <c r="M41" s="81">
        <f>+tblDotacion[[#This Row],[Autoelevadores propios]]+tblDotacion[[#This Row],[Autoelevadores alquilados]]</f>
        <v>1</v>
      </c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</row>
    <row r="42" spans="1:52" ht="15" customHeight="1" x14ac:dyDescent="0.2">
      <c r="A42" s="81" t="s">
        <v>126</v>
      </c>
      <c r="B42" s="81">
        <v>2026</v>
      </c>
      <c r="C42" s="81">
        <v>5</v>
      </c>
      <c r="D42" s="81" t="s">
        <v>57</v>
      </c>
      <c r="E42" s="81">
        <v>2</v>
      </c>
      <c r="F42" s="81">
        <v>0</v>
      </c>
      <c r="G42" s="81"/>
      <c r="H42" s="81"/>
      <c r="I42" s="81">
        <f>+tblDotacion[[#This Row],[Operarios fijos planificados]]+tblDotacion[[#This Row],[Operarios temporarios planificados]]</f>
        <v>2</v>
      </c>
      <c r="J42" s="90">
        <v>3.8300000000000001E-2</v>
      </c>
      <c r="K42" s="81">
        <v>1</v>
      </c>
      <c r="L42" s="81">
        <v>0</v>
      </c>
      <c r="M42" s="81">
        <f>+tblDotacion[[#This Row],[Autoelevadores propios]]+tblDotacion[[#This Row],[Autoelevadores alquilados]]</f>
        <v>1</v>
      </c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</row>
    <row r="43" spans="1:52" ht="15" customHeight="1" x14ac:dyDescent="0.2">
      <c r="A43" s="81" t="s">
        <v>126</v>
      </c>
      <c r="B43" s="81">
        <v>2026</v>
      </c>
      <c r="C43" s="81">
        <v>6</v>
      </c>
      <c r="D43" s="81" t="s">
        <v>58</v>
      </c>
      <c r="E43" s="81">
        <v>2</v>
      </c>
      <c r="F43" s="81">
        <v>0</v>
      </c>
      <c r="G43" s="81"/>
      <c r="H43" s="81"/>
      <c r="I43" s="81">
        <f>+tblDotacion[[#This Row],[Operarios fijos planificados]]+tblDotacion[[#This Row],[Operarios temporarios planificados]]</f>
        <v>2</v>
      </c>
      <c r="J43" s="90">
        <v>3.8300000000000001E-2</v>
      </c>
      <c r="K43" s="81">
        <v>1</v>
      </c>
      <c r="L43" s="81">
        <v>0</v>
      </c>
      <c r="M43" s="81">
        <f>+tblDotacion[[#This Row],[Autoelevadores propios]]+tblDotacion[[#This Row],[Autoelevadores alquilados]]</f>
        <v>1</v>
      </c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</row>
    <row r="44" spans="1:52" ht="15" customHeight="1" x14ac:dyDescent="0.2">
      <c r="A44" s="81" t="s">
        <v>126</v>
      </c>
      <c r="B44" s="81">
        <v>2026</v>
      </c>
      <c r="C44" s="81">
        <v>7</v>
      </c>
      <c r="D44" s="81" t="s">
        <v>59</v>
      </c>
      <c r="E44" s="81">
        <v>2</v>
      </c>
      <c r="F44" s="81">
        <v>0</v>
      </c>
      <c r="G44" s="81"/>
      <c r="H44" s="81"/>
      <c r="I44" s="81">
        <f>+tblDotacion[[#This Row],[Operarios fijos planificados]]+tblDotacion[[#This Row],[Operarios temporarios planificados]]</f>
        <v>2</v>
      </c>
      <c r="J44" s="90">
        <v>3.8300000000000001E-2</v>
      </c>
      <c r="K44" s="81">
        <v>1</v>
      </c>
      <c r="L44" s="81">
        <v>0</v>
      </c>
      <c r="M44" s="81">
        <f>+tblDotacion[[#This Row],[Autoelevadores propios]]+tblDotacion[[#This Row],[Autoelevadores alquilados]]</f>
        <v>1</v>
      </c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</row>
    <row r="45" spans="1:52" ht="15" customHeight="1" x14ac:dyDescent="0.2">
      <c r="A45" s="81" t="s">
        <v>126</v>
      </c>
      <c r="B45" s="81">
        <v>2026</v>
      </c>
      <c r="C45" s="81">
        <v>8</v>
      </c>
      <c r="D45" s="81" t="s">
        <v>60</v>
      </c>
      <c r="E45" s="81">
        <v>2</v>
      </c>
      <c r="F45" s="81">
        <v>0</v>
      </c>
      <c r="G45" s="81"/>
      <c r="H45" s="81"/>
      <c r="I45" s="81">
        <f>+tblDotacion[[#This Row],[Operarios fijos planificados]]+tblDotacion[[#This Row],[Operarios temporarios planificados]]</f>
        <v>2</v>
      </c>
      <c r="J45" s="90">
        <v>3.8300000000000001E-2</v>
      </c>
      <c r="K45" s="81">
        <v>1</v>
      </c>
      <c r="L45" s="81">
        <v>0</v>
      </c>
      <c r="M45" s="81">
        <f>+tblDotacion[[#This Row],[Autoelevadores propios]]+tblDotacion[[#This Row],[Autoelevadores alquilados]]</f>
        <v>1</v>
      </c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</row>
    <row r="46" spans="1:52" ht="15" customHeight="1" x14ac:dyDescent="0.2">
      <c r="A46" s="81" t="s">
        <v>126</v>
      </c>
      <c r="B46" s="81">
        <v>2026</v>
      </c>
      <c r="C46" s="81">
        <v>9</v>
      </c>
      <c r="D46" s="81" t="s">
        <v>61</v>
      </c>
      <c r="E46" s="81">
        <v>2</v>
      </c>
      <c r="F46" s="81">
        <v>0</v>
      </c>
      <c r="G46" s="81"/>
      <c r="H46" s="81"/>
      <c r="I46" s="81">
        <f>+tblDotacion[[#This Row],[Operarios fijos planificados]]+tblDotacion[[#This Row],[Operarios temporarios planificados]]</f>
        <v>2</v>
      </c>
      <c r="J46" s="90">
        <v>3.8300000000000001E-2</v>
      </c>
      <c r="K46" s="81">
        <v>1</v>
      </c>
      <c r="L46" s="81">
        <v>0</v>
      </c>
      <c r="M46" s="81">
        <f>+tblDotacion[[#This Row],[Autoelevadores propios]]+tblDotacion[[#This Row],[Autoelevadores alquilados]]</f>
        <v>1</v>
      </c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</row>
    <row r="47" spans="1:52" ht="15" customHeight="1" x14ac:dyDescent="0.2">
      <c r="A47" s="81" t="s">
        <v>126</v>
      </c>
      <c r="B47" s="81">
        <v>2026</v>
      </c>
      <c r="C47" s="81">
        <v>10</v>
      </c>
      <c r="D47" s="81" t="s">
        <v>62</v>
      </c>
      <c r="E47" s="81">
        <v>2</v>
      </c>
      <c r="F47" s="81">
        <v>0</v>
      </c>
      <c r="G47" s="81"/>
      <c r="H47" s="81"/>
      <c r="I47" s="81">
        <f>+tblDotacion[[#This Row],[Operarios fijos planificados]]+tblDotacion[[#This Row],[Operarios temporarios planificados]]</f>
        <v>2</v>
      </c>
      <c r="J47" s="90">
        <v>3.8300000000000001E-2</v>
      </c>
      <c r="K47" s="81">
        <v>1</v>
      </c>
      <c r="L47" s="81">
        <v>0</v>
      </c>
      <c r="M47" s="81">
        <f>+tblDotacion[[#This Row],[Autoelevadores propios]]+tblDotacion[[#This Row],[Autoelevadores alquilados]]</f>
        <v>1</v>
      </c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</row>
    <row r="48" spans="1:52" ht="15" customHeight="1" x14ac:dyDescent="0.2">
      <c r="A48" s="81" t="s">
        <v>126</v>
      </c>
      <c r="B48" s="81">
        <v>2026</v>
      </c>
      <c r="C48" s="81">
        <v>11</v>
      </c>
      <c r="D48" s="81" t="s">
        <v>63</v>
      </c>
      <c r="E48" s="81">
        <v>2</v>
      </c>
      <c r="F48" s="81">
        <v>0</v>
      </c>
      <c r="G48" s="81"/>
      <c r="H48" s="81"/>
      <c r="I48" s="81">
        <f>+tblDotacion[[#This Row],[Operarios fijos planificados]]+tblDotacion[[#This Row],[Operarios temporarios planificados]]</f>
        <v>2</v>
      </c>
      <c r="J48" s="90">
        <v>3.8300000000000001E-2</v>
      </c>
      <c r="K48" s="81">
        <v>1</v>
      </c>
      <c r="L48" s="81">
        <v>0</v>
      </c>
      <c r="M48" s="81">
        <f>+tblDotacion[[#This Row],[Autoelevadores propios]]+tblDotacion[[#This Row],[Autoelevadores alquilados]]</f>
        <v>1</v>
      </c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</row>
    <row r="49" spans="1:52" ht="15" customHeight="1" x14ac:dyDescent="0.2">
      <c r="A49" s="81" t="s">
        <v>126</v>
      </c>
      <c r="B49" s="81">
        <v>2026</v>
      </c>
      <c r="C49" s="81">
        <v>12</v>
      </c>
      <c r="D49" s="81" t="s">
        <v>64</v>
      </c>
      <c r="E49" s="81">
        <v>2</v>
      </c>
      <c r="F49" s="81">
        <v>0</v>
      </c>
      <c r="G49" s="81"/>
      <c r="H49" s="81"/>
      <c r="I49" s="81">
        <f>+tblDotacion[[#This Row],[Operarios fijos planificados]]+tblDotacion[[#This Row],[Operarios temporarios planificados]]</f>
        <v>2</v>
      </c>
      <c r="J49" s="90">
        <v>3.8300000000000001E-2</v>
      </c>
      <c r="K49" s="81">
        <v>1</v>
      </c>
      <c r="L49" s="81">
        <v>0</v>
      </c>
      <c r="M49" s="81">
        <f>+tblDotacion[[#This Row],[Autoelevadores propios]]+tblDotacion[[#This Row],[Autoelevadores alquilados]]</f>
        <v>1</v>
      </c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</row>
    <row r="50" spans="1:52" ht="15" customHeight="1" x14ac:dyDescent="0.2">
      <c r="A50" s="81"/>
      <c r="B50" s="81"/>
      <c r="C50" s="81"/>
      <c r="D50" s="81"/>
      <c r="E50" s="81"/>
      <c r="F50" s="81"/>
      <c r="G50" s="81"/>
      <c r="H50" s="81"/>
      <c r="I50" s="81"/>
      <c r="J50" s="90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</row>
    <row r="51" spans="1:52" ht="15" customHeight="1" x14ac:dyDescent="0.2">
      <c r="A51" s="81"/>
      <c r="B51" s="81"/>
      <c r="C51" s="81"/>
      <c r="D51" s="81"/>
      <c r="E51" s="81"/>
      <c r="F51" s="81"/>
      <c r="G51" s="81"/>
      <c r="H51" s="81"/>
      <c r="I51" s="81"/>
      <c r="J51" s="90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</row>
    <row r="52" spans="1:52" ht="15" customHeight="1" x14ac:dyDescent="0.2">
      <c r="A52" s="81"/>
      <c r="B52" s="81"/>
      <c r="C52" s="81"/>
      <c r="D52" s="81"/>
      <c r="E52" s="81"/>
      <c r="F52" s="81"/>
      <c r="G52" s="81"/>
      <c r="H52" s="81"/>
      <c r="I52" s="81"/>
      <c r="J52" s="90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</row>
    <row r="53" spans="1:52" ht="15" customHeight="1" x14ac:dyDescent="0.2">
      <c r="A53" s="81"/>
      <c r="B53" s="81"/>
      <c r="C53" s="81"/>
      <c r="D53" s="81"/>
      <c r="E53" s="81"/>
      <c r="F53" s="81"/>
      <c r="G53" s="81"/>
      <c r="H53" s="81"/>
      <c r="I53" s="81"/>
      <c r="J53" s="90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</row>
    <row r="54" spans="1:52" ht="15" customHeight="1" x14ac:dyDescent="0.2">
      <c r="A54" s="81"/>
      <c r="B54" s="81"/>
      <c r="C54" s="81"/>
      <c r="D54" s="81"/>
      <c r="E54" s="81"/>
      <c r="F54" s="81"/>
      <c r="G54" s="81"/>
      <c r="H54" s="81"/>
      <c r="I54" s="81"/>
      <c r="J54" s="90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</row>
    <row r="55" spans="1:52" ht="15" customHeight="1" x14ac:dyDescent="0.2">
      <c r="A55" s="81"/>
      <c r="B55" s="81"/>
      <c r="C55" s="81"/>
      <c r="D55" s="81"/>
      <c r="E55" s="81"/>
      <c r="F55" s="81"/>
      <c r="G55" s="81"/>
      <c r="H55" s="81"/>
      <c r="I55" s="81"/>
      <c r="J55" s="90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</row>
    <row r="56" spans="1:52" ht="15" customHeight="1" x14ac:dyDescent="0.2">
      <c r="A56" s="81"/>
      <c r="B56" s="81"/>
      <c r="C56" s="81"/>
      <c r="D56" s="81"/>
      <c r="E56" s="81"/>
      <c r="F56" s="81"/>
      <c r="G56" s="81"/>
      <c r="H56" s="81"/>
      <c r="I56" s="81"/>
      <c r="J56" s="90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</row>
    <row r="57" spans="1:52" ht="15" customHeight="1" x14ac:dyDescent="0.2">
      <c r="A57" s="81"/>
      <c r="B57" s="81"/>
      <c r="C57" s="81"/>
      <c r="D57" s="81"/>
      <c r="E57" s="81"/>
      <c r="F57" s="81"/>
      <c r="G57" s="81"/>
      <c r="H57" s="81"/>
      <c r="I57" s="81"/>
      <c r="J57" s="90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</row>
    <row r="58" spans="1:52" ht="15" customHeight="1" x14ac:dyDescent="0.2">
      <c r="A58" s="81"/>
      <c r="B58" s="81"/>
      <c r="C58" s="81"/>
      <c r="D58" s="81"/>
      <c r="E58" s="81"/>
      <c r="F58" s="81"/>
      <c r="G58" s="81"/>
      <c r="H58" s="81"/>
      <c r="I58" s="81"/>
      <c r="J58" s="90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</row>
    <row r="59" spans="1:52" ht="15" customHeight="1" x14ac:dyDescent="0.2">
      <c r="A59" s="81"/>
      <c r="B59" s="81"/>
      <c r="C59" s="81"/>
      <c r="D59" s="81"/>
      <c r="E59" s="81"/>
      <c r="F59" s="81"/>
      <c r="G59" s="81"/>
      <c r="H59" s="81"/>
      <c r="I59" s="81"/>
      <c r="J59" s="90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</row>
    <row r="60" spans="1:52" ht="15" customHeight="1" x14ac:dyDescent="0.2">
      <c r="A60" s="81"/>
      <c r="B60" s="81"/>
      <c r="C60" s="81"/>
      <c r="D60" s="81"/>
      <c r="E60" s="81"/>
      <c r="F60" s="81"/>
      <c r="G60" s="81"/>
      <c r="H60" s="81"/>
      <c r="I60" s="81"/>
      <c r="J60" s="90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</row>
    <row r="61" spans="1:52" ht="15" customHeight="1" x14ac:dyDescent="0.2">
      <c r="A61" s="81"/>
      <c r="B61" s="81"/>
      <c r="C61" s="81"/>
      <c r="D61" s="81"/>
      <c r="E61" s="81"/>
      <c r="F61" s="81"/>
      <c r="G61" s="81"/>
      <c r="H61" s="81"/>
      <c r="I61" s="81"/>
      <c r="J61" s="90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</row>
    <row r="62" spans="1:52" ht="15" customHeight="1" x14ac:dyDescent="0.2">
      <c r="A62" s="81"/>
      <c r="B62" s="81"/>
      <c r="C62" s="81"/>
      <c r="D62" s="81"/>
      <c r="E62" s="81"/>
      <c r="F62" s="81"/>
      <c r="G62" s="81"/>
      <c r="H62" s="81"/>
      <c r="I62" s="81"/>
      <c r="J62" s="90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</row>
    <row r="63" spans="1:52" ht="15" customHeight="1" x14ac:dyDescent="0.2">
      <c r="A63" s="81"/>
      <c r="B63" s="81"/>
      <c r="C63" s="81"/>
      <c r="D63" s="81"/>
      <c r="E63" s="81"/>
      <c r="F63" s="81"/>
      <c r="G63" s="81"/>
      <c r="H63" s="81"/>
      <c r="I63" s="81"/>
      <c r="J63" s="90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</row>
    <row r="64" spans="1:52" ht="15" customHeight="1" x14ac:dyDescent="0.2">
      <c r="A64" s="81"/>
      <c r="B64" s="81"/>
      <c r="C64" s="81"/>
      <c r="D64" s="81"/>
      <c r="E64" s="81"/>
      <c r="F64" s="81"/>
      <c r="G64" s="81"/>
      <c r="H64" s="81"/>
      <c r="I64" s="81"/>
      <c r="J64" s="90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</row>
    <row r="65" spans="1:52" ht="15" customHeight="1" x14ac:dyDescent="0.2">
      <c r="A65" s="81"/>
      <c r="B65" s="81"/>
      <c r="C65" s="81"/>
      <c r="D65" s="81"/>
      <c r="E65" s="81"/>
      <c r="F65" s="81"/>
      <c r="G65" s="81"/>
      <c r="H65" s="81"/>
      <c r="I65" s="81"/>
      <c r="J65" s="90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</row>
    <row r="66" spans="1:52" ht="15" customHeight="1" x14ac:dyDescent="0.2">
      <c r="A66" s="81"/>
      <c r="B66" s="81"/>
      <c r="C66" s="81"/>
      <c r="D66" s="81"/>
      <c r="E66" s="81"/>
      <c r="F66" s="81"/>
      <c r="G66" s="81"/>
      <c r="H66" s="81"/>
      <c r="I66" s="81"/>
      <c r="J66" s="90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</row>
    <row r="67" spans="1:52" ht="15" customHeight="1" x14ac:dyDescent="0.2">
      <c r="A67" s="81"/>
      <c r="B67" s="81"/>
      <c r="C67" s="81"/>
      <c r="D67" s="81"/>
      <c r="E67" s="81"/>
      <c r="F67" s="81"/>
      <c r="G67" s="81"/>
      <c r="H67" s="81"/>
      <c r="I67" s="81"/>
      <c r="J67" s="90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</row>
    <row r="68" spans="1:52" ht="15" customHeight="1" x14ac:dyDescent="0.2">
      <c r="A68" s="81"/>
      <c r="B68" s="81"/>
      <c r="C68" s="81"/>
      <c r="D68" s="81"/>
      <c r="E68" s="81"/>
      <c r="F68" s="81"/>
      <c r="G68" s="81"/>
      <c r="H68" s="81"/>
      <c r="I68" s="81"/>
      <c r="J68" s="90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</row>
    <row r="69" spans="1:52" ht="15" customHeight="1" x14ac:dyDescent="0.2">
      <c r="A69" s="81"/>
      <c r="B69" s="81"/>
      <c r="C69" s="81"/>
      <c r="D69" s="81"/>
      <c r="E69" s="81"/>
      <c r="F69" s="81"/>
      <c r="G69" s="81"/>
      <c r="H69" s="81"/>
      <c r="I69" s="81"/>
      <c r="J69" s="90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</row>
    <row r="70" spans="1:52" ht="15" customHeight="1" x14ac:dyDescent="0.2">
      <c r="A70" s="81"/>
      <c r="B70" s="81"/>
      <c r="C70" s="81"/>
      <c r="D70" s="81"/>
      <c r="E70" s="81"/>
      <c r="F70" s="81"/>
      <c r="G70" s="81"/>
      <c r="H70" s="81"/>
      <c r="I70" s="81"/>
      <c r="J70" s="90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</row>
    <row r="71" spans="1:52" ht="15" customHeight="1" x14ac:dyDescent="0.2">
      <c r="A71" s="81"/>
      <c r="B71" s="81"/>
      <c r="C71" s="81"/>
      <c r="D71" s="81"/>
      <c r="E71" s="81"/>
      <c r="F71" s="81"/>
      <c r="G71" s="81"/>
      <c r="H71" s="81"/>
      <c r="I71" s="81"/>
      <c r="J71" s="90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</row>
    <row r="72" spans="1:52" ht="15" customHeight="1" x14ac:dyDescent="0.2">
      <c r="A72" s="81"/>
      <c r="B72" s="81"/>
      <c r="C72" s="81"/>
      <c r="D72" s="81"/>
      <c r="E72" s="81"/>
      <c r="F72" s="81"/>
      <c r="G72" s="81"/>
      <c r="H72" s="81"/>
      <c r="I72" s="81"/>
      <c r="J72" s="90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</row>
    <row r="73" spans="1:52" ht="15" customHeight="1" x14ac:dyDescent="0.2">
      <c r="A73" s="81"/>
      <c r="B73" s="81"/>
      <c r="C73" s="81"/>
      <c r="D73" s="81"/>
      <c r="E73" s="81"/>
      <c r="F73" s="81"/>
      <c r="G73" s="81"/>
      <c r="H73" s="81"/>
      <c r="I73" s="81"/>
      <c r="J73" s="90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</row>
    <row r="74" spans="1:52" ht="15" customHeight="1" x14ac:dyDescent="0.2">
      <c r="A74" s="81"/>
      <c r="B74" s="81"/>
      <c r="C74" s="81"/>
      <c r="D74" s="81"/>
      <c r="E74" s="81"/>
      <c r="F74" s="81"/>
      <c r="G74" s="81"/>
      <c r="H74" s="81"/>
      <c r="I74" s="81"/>
      <c r="J74" s="90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</row>
    <row r="75" spans="1:52" ht="15" customHeight="1" x14ac:dyDescent="0.2">
      <c r="A75" s="81"/>
      <c r="B75" s="81"/>
      <c r="C75" s="81"/>
      <c r="D75" s="81"/>
      <c r="E75" s="81"/>
      <c r="F75" s="81"/>
      <c r="G75" s="81"/>
      <c r="H75" s="81"/>
      <c r="I75" s="81"/>
      <c r="J75" s="90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</row>
    <row r="76" spans="1:52" ht="15" customHeight="1" x14ac:dyDescent="0.2">
      <c r="A76" s="81"/>
      <c r="B76" s="81"/>
      <c r="C76" s="81"/>
      <c r="D76" s="81"/>
      <c r="E76" s="81"/>
      <c r="F76" s="81"/>
      <c r="G76" s="81"/>
      <c r="H76" s="81"/>
      <c r="I76" s="81"/>
      <c r="J76" s="90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</row>
    <row r="77" spans="1:52" ht="15" customHeight="1" x14ac:dyDescent="0.2">
      <c r="A77" s="81"/>
      <c r="B77" s="81"/>
      <c r="C77" s="81"/>
      <c r="D77" s="81"/>
      <c r="E77" s="81"/>
      <c r="F77" s="81"/>
      <c r="G77" s="81"/>
      <c r="H77" s="81"/>
      <c r="I77" s="81"/>
      <c r="J77" s="90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</row>
    <row r="78" spans="1:52" ht="15" customHeight="1" x14ac:dyDescent="0.2">
      <c r="A78" s="81"/>
      <c r="B78" s="81"/>
      <c r="C78" s="81"/>
      <c r="D78" s="81"/>
      <c r="E78" s="81"/>
      <c r="F78" s="81"/>
      <c r="G78" s="81"/>
      <c r="H78" s="81"/>
      <c r="I78" s="81"/>
      <c r="J78" s="90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</row>
    <row r="79" spans="1:52" ht="15" customHeight="1" x14ac:dyDescent="0.2">
      <c r="A79" s="81"/>
      <c r="B79" s="81"/>
      <c r="C79" s="81"/>
      <c r="D79" s="81"/>
      <c r="E79" s="81"/>
      <c r="F79" s="81"/>
      <c r="G79" s="81"/>
      <c r="H79" s="81"/>
      <c r="I79" s="81"/>
      <c r="J79" s="90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</row>
    <row r="80" spans="1:52" ht="15" customHeight="1" x14ac:dyDescent="0.2">
      <c r="A80" s="81"/>
      <c r="B80" s="81"/>
      <c r="C80" s="81"/>
      <c r="D80" s="81"/>
      <c r="E80" s="81"/>
      <c r="F80" s="81"/>
      <c r="G80" s="81"/>
      <c r="H80" s="81"/>
      <c r="I80" s="81"/>
      <c r="J80" s="90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</row>
    <row r="81" spans="1:52" ht="15" customHeight="1" x14ac:dyDescent="0.2">
      <c r="A81" s="81"/>
      <c r="B81" s="81"/>
      <c r="C81" s="81"/>
      <c r="D81" s="81"/>
      <c r="E81" s="81"/>
      <c r="F81" s="81"/>
      <c r="G81" s="81"/>
      <c r="H81" s="81"/>
      <c r="I81" s="81"/>
      <c r="J81" s="90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</row>
    <row r="82" spans="1:52" ht="15" customHeight="1" x14ac:dyDescent="0.2">
      <c r="A82" s="81"/>
      <c r="B82" s="81"/>
      <c r="C82" s="81"/>
      <c r="D82" s="81"/>
      <c r="E82" s="81"/>
      <c r="F82" s="81"/>
      <c r="G82" s="81"/>
      <c r="H82" s="81"/>
      <c r="I82" s="81"/>
      <c r="J82" s="90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</row>
    <row r="83" spans="1:52" ht="15" customHeight="1" x14ac:dyDescent="0.2">
      <c r="A83" s="81"/>
      <c r="B83" s="81"/>
      <c r="C83" s="81"/>
      <c r="D83" s="81"/>
      <c r="E83" s="81"/>
      <c r="F83" s="81"/>
      <c r="G83" s="81"/>
      <c r="H83" s="81"/>
      <c r="I83" s="81"/>
      <c r="J83" s="90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</row>
    <row r="84" spans="1:52" ht="15" customHeight="1" x14ac:dyDescent="0.2">
      <c r="A84" s="81"/>
      <c r="B84" s="81"/>
      <c r="C84" s="81"/>
      <c r="D84" s="81"/>
      <c r="E84" s="81"/>
      <c r="F84" s="81"/>
      <c r="G84" s="81"/>
      <c r="H84" s="81"/>
      <c r="I84" s="81"/>
      <c r="J84" s="90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</row>
    <row r="85" spans="1:52" ht="15" customHeight="1" x14ac:dyDescent="0.2">
      <c r="A85" s="81"/>
      <c r="B85" s="81"/>
      <c r="C85" s="81"/>
      <c r="D85" s="81"/>
      <c r="E85" s="81"/>
      <c r="F85" s="81"/>
      <c r="G85" s="81"/>
      <c r="H85" s="81"/>
      <c r="I85" s="81"/>
      <c r="J85" s="90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</row>
    <row r="86" spans="1:52" ht="15" customHeight="1" x14ac:dyDescent="0.2">
      <c r="A86" s="81"/>
      <c r="B86" s="81"/>
      <c r="C86" s="81"/>
      <c r="D86" s="81"/>
      <c r="E86" s="81"/>
      <c r="F86" s="81"/>
      <c r="G86" s="81"/>
      <c r="H86" s="81"/>
      <c r="I86" s="81"/>
      <c r="J86" s="90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</row>
    <row r="87" spans="1:52" ht="15" customHeight="1" x14ac:dyDescent="0.2">
      <c r="A87" s="81"/>
      <c r="B87" s="81"/>
      <c r="C87" s="81"/>
      <c r="D87" s="81"/>
      <c r="E87" s="81"/>
      <c r="F87" s="81"/>
      <c r="G87" s="81"/>
      <c r="H87" s="81"/>
      <c r="I87" s="81"/>
      <c r="J87" s="90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</row>
    <row r="88" spans="1:52" ht="15" customHeight="1" x14ac:dyDescent="0.2">
      <c r="A88" s="81"/>
      <c r="B88" s="81"/>
      <c r="C88" s="81"/>
      <c r="D88" s="81"/>
      <c r="E88" s="81"/>
      <c r="F88" s="81"/>
      <c r="G88" s="81"/>
      <c r="H88" s="81"/>
      <c r="I88" s="81"/>
      <c r="J88" s="90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</row>
    <row r="89" spans="1:52" ht="15" customHeight="1" x14ac:dyDescent="0.2">
      <c r="A89" s="81"/>
      <c r="B89" s="81"/>
      <c r="C89" s="81"/>
      <c r="D89" s="81"/>
      <c r="E89" s="81"/>
      <c r="F89" s="81"/>
      <c r="G89" s="81"/>
      <c r="H89" s="81"/>
      <c r="I89" s="81"/>
      <c r="J89" s="90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</row>
    <row r="90" spans="1:52" ht="15" customHeight="1" x14ac:dyDescent="0.2">
      <c r="A90" s="81"/>
      <c r="B90" s="81"/>
      <c r="C90" s="81"/>
      <c r="D90" s="81"/>
      <c r="E90" s="81"/>
      <c r="F90" s="81"/>
      <c r="G90" s="81"/>
      <c r="H90" s="81"/>
      <c r="I90" s="81"/>
      <c r="J90" s="90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</row>
    <row r="91" spans="1:52" ht="15" customHeight="1" x14ac:dyDescent="0.2">
      <c r="A91" s="81"/>
      <c r="B91" s="81"/>
      <c r="C91" s="81"/>
      <c r="D91" s="81"/>
      <c r="E91" s="81"/>
      <c r="F91" s="81"/>
      <c r="G91" s="81"/>
      <c r="H91" s="81"/>
      <c r="I91" s="81"/>
      <c r="J91" s="90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</row>
    <row r="92" spans="1:52" ht="15" customHeight="1" x14ac:dyDescent="0.2">
      <c r="A92" s="81"/>
      <c r="B92" s="81"/>
      <c r="C92" s="81"/>
      <c r="D92" s="81"/>
      <c r="E92" s="81"/>
      <c r="F92" s="81"/>
      <c r="G92" s="81"/>
      <c r="H92" s="81"/>
      <c r="I92" s="81"/>
      <c r="J92" s="90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</row>
    <row r="93" spans="1:52" ht="15" customHeight="1" x14ac:dyDescent="0.2">
      <c r="A93" s="81"/>
      <c r="B93" s="81"/>
      <c r="C93" s="81"/>
      <c r="D93" s="81"/>
      <c r="E93" s="81"/>
      <c r="F93" s="81"/>
      <c r="G93" s="81"/>
      <c r="H93" s="81"/>
      <c r="I93" s="81"/>
      <c r="J93" s="90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</row>
    <row r="94" spans="1:52" ht="15" customHeight="1" x14ac:dyDescent="0.2">
      <c r="A94" s="81"/>
      <c r="B94" s="81"/>
      <c r="C94" s="81"/>
      <c r="D94" s="81"/>
      <c r="E94" s="81"/>
      <c r="F94" s="81"/>
      <c r="G94" s="81"/>
      <c r="H94" s="81"/>
      <c r="I94" s="81"/>
      <c r="J94" s="90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</row>
    <row r="95" spans="1:52" ht="15" customHeight="1" x14ac:dyDescent="0.2">
      <c r="A95" s="81"/>
      <c r="B95" s="81"/>
      <c r="C95" s="81"/>
      <c r="D95" s="81"/>
      <c r="E95" s="81"/>
      <c r="F95" s="81"/>
      <c r="G95" s="81"/>
      <c r="H95" s="81"/>
      <c r="I95" s="81"/>
      <c r="J95" s="90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</row>
    <row r="96" spans="1:52" ht="15" customHeight="1" x14ac:dyDescent="0.2">
      <c r="A96" s="81"/>
      <c r="B96" s="81"/>
      <c r="C96" s="81"/>
      <c r="D96" s="81"/>
      <c r="E96" s="81"/>
      <c r="F96" s="81"/>
      <c r="G96" s="81"/>
      <c r="H96" s="81"/>
      <c r="I96" s="81"/>
      <c r="J96" s="90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</row>
    <row r="97" spans="1:52" ht="15" customHeight="1" x14ac:dyDescent="0.2">
      <c r="A97" s="81"/>
      <c r="B97" s="81"/>
      <c r="C97" s="81"/>
      <c r="D97" s="81"/>
      <c r="E97" s="81"/>
      <c r="F97" s="81"/>
      <c r="G97" s="81"/>
      <c r="H97" s="81"/>
      <c r="I97" s="81"/>
      <c r="J97" s="90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</row>
    <row r="98" spans="1:52" ht="15" customHeight="1" x14ac:dyDescent="0.2">
      <c r="A98" s="81"/>
      <c r="B98" s="81"/>
      <c r="C98" s="81"/>
      <c r="D98" s="81"/>
      <c r="E98" s="81"/>
      <c r="F98" s="81"/>
      <c r="G98" s="81"/>
      <c r="H98" s="81"/>
      <c r="I98" s="81"/>
      <c r="J98" s="90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</row>
    <row r="99" spans="1:52" ht="15" customHeight="1" x14ac:dyDescent="0.2">
      <c r="A99" s="81"/>
      <c r="B99" s="81"/>
      <c r="C99" s="81"/>
      <c r="D99" s="81"/>
      <c r="E99" s="81"/>
      <c r="F99" s="81"/>
      <c r="G99" s="81"/>
      <c r="H99" s="81"/>
      <c r="I99" s="81"/>
      <c r="J99" s="90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</row>
    <row r="100" spans="1:52" ht="15" customHeight="1" x14ac:dyDescent="0.2">
      <c r="A100" s="81"/>
      <c r="B100" s="81"/>
      <c r="C100" s="81"/>
      <c r="D100" s="81"/>
      <c r="E100" s="81"/>
      <c r="F100" s="81"/>
      <c r="G100" s="81"/>
      <c r="H100" s="81"/>
      <c r="I100" s="81"/>
      <c r="J100" s="90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</row>
    <row r="101" spans="1:52" ht="15" customHeight="1" x14ac:dyDescent="0.2">
      <c r="A101" s="81"/>
      <c r="B101" s="81"/>
      <c r="C101" s="81"/>
      <c r="D101" s="81"/>
      <c r="E101" s="81"/>
      <c r="F101" s="81"/>
      <c r="G101" s="81"/>
      <c r="H101" s="81"/>
      <c r="I101" s="81"/>
      <c r="J101" s="90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</row>
    <row r="102" spans="1:52" ht="15" customHeight="1" x14ac:dyDescent="0.2">
      <c r="A102" s="81"/>
      <c r="B102" s="81"/>
      <c r="C102" s="81"/>
      <c r="D102" s="81"/>
      <c r="E102" s="81"/>
      <c r="F102" s="81"/>
      <c r="G102" s="81"/>
      <c r="H102" s="81"/>
      <c r="I102" s="81"/>
      <c r="J102" s="90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</row>
    <row r="103" spans="1:52" ht="15" customHeight="1" x14ac:dyDescent="0.2">
      <c r="A103" s="81"/>
      <c r="B103" s="81"/>
      <c r="C103" s="81"/>
      <c r="D103" s="81"/>
      <c r="E103" s="81"/>
      <c r="F103" s="81"/>
      <c r="G103" s="81"/>
      <c r="H103" s="81"/>
      <c r="I103" s="81"/>
      <c r="J103" s="90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</row>
    <row r="104" spans="1:52" ht="15" customHeight="1" x14ac:dyDescent="0.2">
      <c r="A104" s="81"/>
      <c r="B104" s="81"/>
      <c r="C104" s="81"/>
      <c r="D104" s="81"/>
      <c r="E104" s="81"/>
      <c r="F104" s="81"/>
      <c r="G104" s="81"/>
      <c r="H104" s="81"/>
      <c r="I104" s="81"/>
      <c r="J104" s="90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</row>
    <row r="105" spans="1:52" ht="15" customHeight="1" x14ac:dyDescent="0.2">
      <c r="A105" s="81"/>
      <c r="B105" s="81"/>
      <c r="C105" s="81"/>
      <c r="D105" s="81"/>
      <c r="E105" s="81"/>
      <c r="F105" s="81"/>
      <c r="G105" s="81"/>
      <c r="H105" s="81"/>
      <c r="I105" s="81"/>
      <c r="J105" s="90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</row>
    <row r="106" spans="1:52" ht="15" customHeight="1" x14ac:dyDescent="0.2">
      <c r="A106" s="81"/>
      <c r="B106" s="81"/>
      <c r="C106" s="81"/>
      <c r="D106" s="81"/>
      <c r="E106" s="81"/>
      <c r="F106" s="81"/>
      <c r="G106" s="81"/>
      <c r="H106" s="81"/>
      <c r="I106" s="81"/>
      <c r="J106" s="90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</row>
    <row r="107" spans="1:52" ht="15" customHeight="1" x14ac:dyDescent="0.2">
      <c r="A107" s="81"/>
      <c r="B107" s="81"/>
      <c r="C107" s="81"/>
      <c r="D107" s="81"/>
      <c r="E107" s="81"/>
      <c r="F107" s="81"/>
      <c r="G107" s="81"/>
      <c r="H107" s="81"/>
      <c r="I107" s="81"/>
      <c r="J107" s="90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</row>
    <row r="108" spans="1:52" ht="15" customHeight="1" x14ac:dyDescent="0.2">
      <c r="A108" s="81"/>
      <c r="B108" s="81"/>
      <c r="C108" s="81"/>
      <c r="D108" s="81"/>
      <c r="E108" s="81"/>
      <c r="F108" s="81"/>
      <c r="G108" s="81"/>
      <c r="H108" s="81"/>
      <c r="I108" s="81"/>
      <c r="J108" s="90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</row>
    <row r="109" spans="1:52" ht="15" customHeight="1" x14ac:dyDescent="0.2">
      <c r="A109" s="81"/>
      <c r="B109" s="81"/>
      <c r="C109" s="81"/>
      <c r="D109" s="81"/>
      <c r="E109" s="81"/>
      <c r="F109" s="81"/>
      <c r="G109" s="81"/>
      <c r="H109" s="81"/>
      <c r="I109" s="81"/>
      <c r="J109" s="90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</row>
    <row r="110" spans="1:52" ht="15" customHeight="1" x14ac:dyDescent="0.2">
      <c r="A110" s="81"/>
      <c r="B110" s="81"/>
      <c r="C110" s="81"/>
      <c r="D110" s="81"/>
      <c r="E110" s="81"/>
      <c r="F110" s="81"/>
      <c r="G110" s="81"/>
      <c r="H110" s="81"/>
      <c r="I110" s="81"/>
      <c r="J110" s="90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</row>
    <row r="111" spans="1:52" ht="15" customHeight="1" x14ac:dyDescent="0.2">
      <c r="A111" s="81"/>
      <c r="B111" s="81"/>
      <c r="C111" s="81"/>
      <c r="D111" s="81"/>
      <c r="E111" s="81"/>
      <c r="F111" s="81"/>
      <c r="G111" s="81"/>
      <c r="H111" s="81"/>
      <c r="I111" s="81"/>
      <c r="J111" s="90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</row>
    <row r="112" spans="1:52" ht="15" customHeight="1" x14ac:dyDescent="0.2">
      <c r="A112" s="81"/>
      <c r="B112" s="81"/>
      <c r="C112" s="81"/>
      <c r="D112" s="81"/>
      <c r="E112" s="81"/>
      <c r="F112" s="81"/>
      <c r="G112" s="81"/>
      <c r="H112" s="81"/>
      <c r="I112" s="81"/>
      <c r="J112" s="90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</row>
    <row r="113" spans="1:52" ht="15" customHeight="1" x14ac:dyDescent="0.2">
      <c r="A113" s="81"/>
      <c r="B113" s="81"/>
      <c r="C113" s="81"/>
      <c r="D113" s="81"/>
      <c r="E113" s="81"/>
      <c r="F113" s="81"/>
      <c r="G113" s="81"/>
      <c r="H113" s="81"/>
      <c r="I113" s="81"/>
      <c r="J113" s="90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</row>
    <row r="114" spans="1:52" ht="15" customHeight="1" x14ac:dyDescent="0.2">
      <c r="A114" s="81"/>
      <c r="B114" s="81"/>
      <c r="C114" s="81"/>
      <c r="D114" s="81"/>
      <c r="E114" s="81"/>
      <c r="F114" s="81"/>
      <c r="G114" s="81"/>
      <c r="H114" s="81"/>
      <c r="I114" s="81"/>
      <c r="J114" s="90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</row>
    <row r="115" spans="1:52" ht="15" customHeight="1" x14ac:dyDescent="0.2">
      <c r="A115" s="81"/>
      <c r="B115" s="81"/>
      <c r="C115" s="81"/>
      <c r="D115" s="81"/>
      <c r="E115" s="81"/>
      <c r="F115" s="81"/>
      <c r="G115" s="81"/>
      <c r="H115" s="81"/>
      <c r="I115" s="81"/>
      <c r="J115" s="90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</row>
    <row r="116" spans="1:52" ht="15" customHeight="1" x14ac:dyDescent="0.2">
      <c r="A116" s="81"/>
      <c r="B116" s="81"/>
      <c r="C116" s="81"/>
      <c r="D116" s="81"/>
      <c r="E116" s="81"/>
      <c r="F116" s="81"/>
      <c r="G116" s="81"/>
      <c r="H116" s="81"/>
      <c r="I116" s="81"/>
      <c r="J116" s="90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</row>
    <row r="117" spans="1:52" ht="15" customHeight="1" x14ac:dyDescent="0.2">
      <c r="A117" s="81"/>
      <c r="B117" s="81"/>
      <c r="C117" s="81"/>
      <c r="D117" s="81"/>
      <c r="E117" s="81"/>
      <c r="F117" s="81"/>
      <c r="G117" s="81"/>
      <c r="H117" s="81"/>
      <c r="I117" s="81"/>
      <c r="J117" s="90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</row>
    <row r="118" spans="1:52" ht="15" customHeight="1" x14ac:dyDescent="0.2">
      <c r="A118" s="81"/>
      <c r="B118" s="81"/>
      <c r="C118" s="81"/>
      <c r="D118" s="81"/>
      <c r="E118" s="81"/>
      <c r="F118" s="81"/>
      <c r="G118" s="81"/>
      <c r="H118" s="81"/>
      <c r="I118" s="81"/>
      <c r="J118" s="90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</row>
    <row r="119" spans="1:52" ht="15" customHeight="1" x14ac:dyDescent="0.2">
      <c r="A119" s="81"/>
      <c r="B119" s="81"/>
      <c r="C119" s="81"/>
      <c r="D119" s="81"/>
      <c r="E119" s="81"/>
      <c r="F119" s="81"/>
      <c r="G119" s="81"/>
      <c r="H119" s="81"/>
      <c r="I119" s="81"/>
      <c r="J119" s="90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</row>
    <row r="120" spans="1:52" ht="15" customHeight="1" x14ac:dyDescent="0.2">
      <c r="A120" s="81"/>
      <c r="B120" s="81"/>
      <c r="C120" s="81"/>
      <c r="D120" s="81"/>
      <c r="E120" s="81"/>
      <c r="F120" s="81"/>
      <c r="G120" s="81"/>
      <c r="H120" s="81"/>
      <c r="I120" s="81"/>
      <c r="J120" s="90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</row>
    <row r="121" spans="1:52" ht="15" customHeight="1" x14ac:dyDescent="0.2">
      <c r="A121" s="81"/>
      <c r="B121" s="81"/>
      <c r="C121" s="81"/>
      <c r="D121" s="81"/>
      <c r="E121" s="81"/>
      <c r="F121" s="81"/>
      <c r="G121" s="81"/>
      <c r="H121" s="81"/>
      <c r="I121" s="81"/>
      <c r="J121" s="90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</row>
    <row r="122" spans="1:52" ht="15" customHeight="1" x14ac:dyDescent="0.2">
      <c r="A122" s="81"/>
      <c r="B122" s="81"/>
      <c r="C122" s="81"/>
      <c r="D122" s="81"/>
      <c r="E122" s="81"/>
      <c r="F122" s="81"/>
      <c r="G122" s="81"/>
      <c r="H122" s="81"/>
      <c r="I122" s="81"/>
      <c r="J122" s="90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</row>
    <row r="123" spans="1:52" ht="15" customHeight="1" x14ac:dyDescent="0.2">
      <c r="A123" s="81"/>
      <c r="B123" s="81"/>
      <c r="C123" s="81"/>
      <c r="D123" s="81"/>
      <c r="E123" s="81"/>
      <c r="F123" s="81"/>
      <c r="G123" s="81"/>
      <c r="H123" s="81"/>
      <c r="I123" s="81"/>
      <c r="J123" s="90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</row>
    <row r="124" spans="1:52" ht="15" customHeight="1" x14ac:dyDescent="0.2">
      <c r="A124" s="81"/>
      <c r="B124" s="81"/>
      <c r="C124" s="81"/>
      <c r="D124" s="81"/>
      <c r="E124" s="81"/>
      <c r="F124" s="81"/>
      <c r="G124" s="81"/>
      <c r="H124" s="81"/>
      <c r="I124" s="81"/>
      <c r="J124" s="90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</row>
    <row r="125" spans="1:52" ht="15" customHeight="1" x14ac:dyDescent="0.2">
      <c r="A125" s="81"/>
      <c r="B125" s="81"/>
      <c r="C125" s="81"/>
      <c r="D125" s="81"/>
      <c r="E125" s="81"/>
      <c r="F125" s="81"/>
      <c r="G125" s="81"/>
      <c r="H125" s="81"/>
      <c r="I125" s="81"/>
      <c r="J125" s="90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</row>
    <row r="126" spans="1:52" ht="15" customHeight="1" x14ac:dyDescent="0.2">
      <c r="A126" s="81"/>
      <c r="B126" s="81"/>
      <c r="C126" s="81"/>
      <c r="D126" s="81"/>
      <c r="E126" s="81"/>
      <c r="F126" s="81"/>
      <c r="G126" s="81"/>
      <c r="H126" s="81"/>
      <c r="I126" s="81"/>
      <c r="J126" s="90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</row>
    <row r="127" spans="1:52" ht="15" customHeight="1" x14ac:dyDescent="0.2">
      <c r="A127" s="81"/>
      <c r="B127" s="81"/>
      <c r="C127" s="81"/>
      <c r="D127" s="81"/>
      <c r="E127" s="81"/>
      <c r="F127" s="81"/>
      <c r="G127" s="81"/>
      <c r="H127" s="81"/>
      <c r="I127" s="81"/>
      <c r="J127" s="90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</row>
    <row r="128" spans="1:52" ht="15" customHeight="1" x14ac:dyDescent="0.2">
      <c r="A128" s="81"/>
      <c r="B128" s="81"/>
      <c r="C128" s="81"/>
      <c r="D128" s="81"/>
      <c r="E128" s="81"/>
      <c r="F128" s="81"/>
      <c r="G128" s="81"/>
      <c r="H128" s="81"/>
      <c r="I128" s="81"/>
      <c r="J128" s="90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</row>
    <row r="129" spans="1:52" ht="15" customHeight="1" x14ac:dyDescent="0.2">
      <c r="A129" s="81"/>
      <c r="B129" s="81"/>
      <c r="C129" s="81"/>
      <c r="D129" s="81"/>
      <c r="E129" s="81"/>
      <c r="F129" s="81"/>
      <c r="G129" s="81"/>
      <c r="H129" s="81"/>
      <c r="I129" s="81"/>
      <c r="J129" s="90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</row>
    <row r="130" spans="1:52" ht="15" customHeight="1" x14ac:dyDescent="0.2">
      <c r="A130" s="81"/>
      <c r="B130" s="81"/>
      <c r="C130" s="81"/>
      <c r="D130" s="81"/>
      <c r="E130" s="81"/>
      <c r="F130" s="81"/>
      <c r="G130" s="81"/>
      <c r="H130" s="81"/>
      <c r="I130" s="81"/>
      <c r="J130" s="90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</row>
    <row r="131" spans="1:52" ht="15" customHeight="1" x14ac:dyDescent="0.2">
      <c r="A131" s="81"/>
      <c r="B131" s="81"/>
      <c r="C131" s="81"/>
      <c r="D131" s="81"/>
      <c r="E131" s="81"/>
      <c r="F131" s="81"/>
      <c r="G131" s="81"/>
      <c r="H131" s="81"/>
      <c r="I131" s="81"/>
      <c r="J131" s="90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</row>
    <row r="132" spans="1:52" ht="15" customHeight="1" x14ac:dyDescent="0.2">
      <c r="A132" s="81"/>
      <c r="B132" s="81"/>
      <c r="C132" s="81"/>
      <c r="D132" s="81"/>
      <c r="E132" s="81"/>
      <c r="F132" s="81"/>
      <c r="G132" s="81"/>
      <c r="H132" s="81"/>
      <c r="I132" s="81"/>
      <c r="J132" s="90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</row>
    <row r="133" spans="1:52" ht="15" customHeight="1" x14ac:dyDescent="0.2">
      <c r="A133" s="81"/>
      <c r="B133" s="81"/>
      <c r="C133" s="81"/>
      <c r="D133" s="81"/>
      <c r="E133" s="81"/>
      <c r="F133" s="81"/>
      <c r="G133" s="81"/>
      <c r="H133" s="81"/>
      <c r="I133" s="81"/>
      <c r="J133" s="90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</row>
    <row r="134" spans="1:52" ht="15" customHeight="1" x14ac:dyDescent="0.2">
      <c r="A134" s="81"/>
      <c r="B134" s="81"/>
      <c r="C134" s="81"/>
      <c r="D134" s="81"/>
      <c r="E134" s="81"/>
      <c r="F134" s="81"/>
      <c r="G134" s="81"/>
      <c r="H134" s="81"/>
      <c r="I134" s="81"/>
      <c r="J134" s="90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</row>
    <row r="135" spans="1:52" ht="15" customHeight="1" x14ac:dyDescent="0.2">
      <c r="A135" s="81"/>
      <c r="B135" s="81"/>
      <c r="C135" s="81"/>
      <c r="D135" s="81"/>
      <c r="E135" s="81"/>
      <c r="F135" s="81"/>
      <c r="G135" s="81"/>
      <c r="H135" s="81"/>
      <c r="I135" s="81"/>
      <c r="J135" s="90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</row>
    <row r="136" spans="1:52" ht="15" customHeight="1" x14ac:dyDescent="0.2">
      <c r="A136" s="81"/>
      <c r="B136" s="81"/>
      <c r="C136" s="81"/>
      <c r="D136" s="81"/>
      <c r="E136" s="81"/>
      <c r="F136" s="81"/>
      <c r="G136" s="81"/>
      <c r="H136" s="81"/>
      <c r="I136" s="81"/>
      <c r="J136" s="90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</row>
    <row r="137" spans="1:52" ht="15" customHeight="1" x14ac:dyDescent="0.2">
      <c r="A137" s="81"/>
      <c r="B137" s="81"/>
      <c r="C137" s="81"/>
      <c r="D137" s="81"/>
      <c r="E137" s="81"/>
      <c r="F137" s="81"/>
      <c r="G137" s="81"/>
      <c r="H137" s="81"/>
      <c r="I137" s="81"/>
      <c r="J137" s="90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</row>
    <row r="138" spans="1:52" ht="15" customHeight="1" x14ac:dyDescent="0.2">
      <c r="A138" s="81"/>
      <c r="B138" s="81"/>
      <c r="C138" s="81"/>
      <c r="D138" s="81"/>
      <c r="E138" s="81"/>
      <c r="F138" s="81"/>
      <c r="G138" s="81"/>
      <c r="H138" s="81"/>
      <c r="I138" s="81"/>
      <c r="J138" s="90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</row>
    <row r="139" spans="1:52" ht="15" customHeight="1" x14ac:dyDescent="0.2">
      <c r="A139" s="81"/>
      <c r="B139" s="81"/>
      <c r="C139" s="81"/>
      <c r="D139" s="81"/>
      <c r="E139" s="81"/>
      <c r="F139" s="81"/>
      <c r="G139" s="81"/>
      <c r="H139" s="81"/>
      <c r="I139" s="81"/>
      <c r="J139" s="90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</row>
    <row r="140" spans="1:52" ht="15" customHeight="1" x14ac:dyDescent="0.2">
      <c r="A140" s="81"/>
      <c r="B140" s="81"/>
      <c r="C140" s="81"/>
      <c r="D140" s="81"/>
      <c r="E140" s="81"/>
      <c r="F140" s="81"/>
      <c r="G140" s="81"/>
      <c r="H140" s="81"/>
      <c r="I140" s="81"/>
      <c r="J140" s="90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</row>
    <row r="141" spans="1:52" ht="15" customHeight="1" x14ac:dyDescent="0.2">
      <c r="A141" s="81"/>
      <c r="B141" s="81"/>
      <c r="C141" s="81"/>
      <c r="D141" s="81"/>
      <c r="E141" s="81"/>
      <c r="F141" s="81"/>
      <c r="G141" s="81"/>
      <c r="H141" s="81"/>
      <c r="I141" s="81"/>
      <c r="J141" s="90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</row>
    <row r="142" spans="1:52" ht="15" customHeight="1" x14ac:dyDescent="0.2">
      <c r="A142" s="81"/>
      <c r="B142" s="81"/>
      <c r="C142" s="81"/>
      <c r="D142" s="81"/>
      <c r="E142" s="81"/>
      <c r="F142" s="81"/>
      <c r="G142" s="81"/>
      <c r="H142" s="81"/>
      <c r="I142" s="81"/>
      <c r="J142" s="90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</row>
    <row r="143" spans="1:52" ht="15" customHeight="1" x14ac:dyDescent="0.2">
      <c r="A143" s="81"/>
      <c r="B143" s="81"/>
      <c r="C143" s="81"/>
      <c r="D143" s="81"/>
      <c r="E143" s="81"/>
      <c r="F143" s="81"/>
      <c r="G143" s="81"/>
      <c r="H143" s="81"/>
      <c r="I143" s="81"/>
      <c r="J143" s="90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</row>
    <row r="144" spans="1:52" ht="15" customHeight="1" x14ac:dyDescent="0.2">
      <c r="A144" s="81"/>
      <c r="B144" s="81"/>
      <c r="C144" s="81"/>
      <c r="D144" s="81"/>
      <c r="E144" s="81"/>
      <c r="F144" s="81"/>
      <c r="G144" s="81"/>
      <c r="H144" s="81"/>
      <c r="I144" s="81"/>
      <c r="J144" s="90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</row>
    <row r="145" spans="1:52" ht="15" customHeight="1" x14ac:dyDescent="0.2">
      <c r="A145" s="81"/>
      <c r="B145" s="81"/>
      <c r="C145" s="81"/>
      <c r="D145" s="81"/>
      <c r="E145" s="81"/>
      <c r="F145" s="81"/>
      <c r="G145" s="81"/>
      <c r="H145" s="81"/>
      <c r="I145" s="81"/>
      <c r="J145" s="90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</row>
    <row r="146" spans="1:52" ht="15" customHeight="1" x14ac:dyDescent="0.2">
      <c r="A146" s="81"/>
      <c r="B146" s="81"/>
      <c r="C146" s="81"/>
      <c r="D146" s="81"/>
      <c r="E146" s="81"/>
      <c r="F146" s="81"/>
      <c r="G146" s="81"/>
      <c r="H146" s="81"/>
      <c r="I146" s="81"/>
      <c r="J146" s="90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</row>
    <row r="147" spans="1:52" ht="15" customHeight="1" x14ac:dyDescent="0.2">
      <c r="A147" s="81"/>
      <c r="B147" s="81"/>
      <c r="C147" s="81"/>
      <c r="D147" s="81"/>
      <c r="E147" s="81"/>
      <c r="F147" s="81"/>
      <c r="G147" s="81"/>
      <c r="H147" s="81"/>
      <c r="I147" s="81"/>
      <c r="J147" s="90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</row>
    <row r="148" spans="1:52" ht="15" customHeight="1" x14ac:dyDescent="0.2">
      <c r="A148" s="81"/>
      <c r="B148" s="81"/>
      <c r="C148" s="81"/>
      <c r="D148" s="81"/>
      <c r="E148" s="81"/>
      <c r="F148" s="81"/>
      <c r="G148" s="81"/>
      <c r="H148" s="81"/>
      <c r="I148" s="81"/>
      <c r="J148" s="90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</row>
    <row r="149" spans="1:52" ht="15" customHeight="1" x14ac:dyDescent="0.2">
      <c r="A149" s="81"/>
      <c r="B149" s="81"/>
      <c r="C149" s="81"/>
      <c r="D149" s="81"/>
      <c r="E149" s="81"/>
      <c r="F149" s="81"/>
      <c r="G149" s="81"/>
      <c r="H149" s="81"/>
      <c r="I149" s="81"/>
      <c r="J149" s="90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</row>
    <row r="150" spans="1:52" ht="15" customHeight="1" x14ac:dyDescent="0.2">
      <c r="A150" s="81"/>
      <c r="B150" s="81"/>
      <c r="C150" s="81"/>
      <c r="D150" s="81"/>
      <c r="E150" s="81"/>
      <c r="F150" s="81"/>
      <c r="G150" s="81"/>
      <c r="H150" s="81"/>
      <c r="I150" s="81"/>
      <c r="J150" s="90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</row>
    <row r="151" spans="1:52" ht="15" customHeight="1" x14ac:dyDescent="0.2">
      <c r="A151" s="81"/>
      <c r="B151" s="81"/>
      <c r="C151" s="81"/>
      <c r="D151" s="81"/>
      <c r="E151" s="81"/>
      <c r="F151" s="81"/>
      <c r="G151" s="81"/>
      <c r="H151" s="81"/>
      <c r="I151" s="81"/>
      <c r="J151" s="90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</row>
    <row r="152" spans="1:52" ht="15" customHeight="1" x14ac:dyDescent="0.2">
      <c r="A152" s="81"/>
      <c r="B152" s="81"/>
      <c r="C152" s="81"/>
      <c r="D152" s="81"/>
      <c r="E152" s="81"/>
      <c r="F152" s="81"/>
      <c r="G152" s="81"/>
      <c r="H152" s="81"/>
      <c r="I152" s="81"/>
      <c r="J152" s="90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</row>
    <row r="153" spans="1:52" ht="15" customHeight="1" x14ac:dyDescent="0.2">
      <c r="A153" s="81"/>
      <c r="B153" s="81"/>
      <c r="C153" s="81"/>
      <c r="D153" s="81"/>
      <c r="E153" s="81"/>
      <c r="F153" s="81"/>
      <c r="G153" s="81"/>
      <c r="H153" s="81"/>
      <c r="I153" s="81"/>
      <c r="J153" s="90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</row>
    <row r="154" spans="1:52" ht="15" customHeight="1" x14ac:dyDescent="0.2">
      <c r="A154" s="81"/>
      <c r="B154" s="81"/>
      <c r="C154" s="81"/>
      <c r="D154" s="81"/>
      <c r="E154" s="81"/>
      <c r="F154" s="81"/>
      <c r="G154" s="81"/>
      <c r="H154" s="81"/>
      <c r="I154" s="81"/>
      <c r="J154" s="90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</row>
    <row r="155" spans="1:52" ht="15" customHeight="1" x14ac:dyDescent="0.2">
      <c r="A155" s="81"/>
      <c r="B155" s="81"/>
      <c r="C155" s="81"/>
      <c r="D155" s="81"/>
      <c r="E155" s="81"/>
      <c r="F155" s="81"/>
      <c r="G155" s="81"/>
      <c r="H155" s="81"/>
      <c r="I155" s="81"/>
      <c r="J155" s="90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</row>
    <row r="156" spans="1:52" ht="15" customHeight="1" x14ac:dyDescent="0.2">
      <c r="A156" s="81"/>
      <c r="B156" s="81"/>
      <c r="C156" s="81"/>
      <c r="D156" s="81"/>
      <c r="E156" s="81"/>
      <c r="F156" s="81"/>
      <c r="G156" s="81"/>
      <c r="H156" s="81"/>
      <c r="I156" s="81"/>
      <c r="J156" s="90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</row>
    <row r="157" spans="1:52" ht="15" customHeight="1" x14ac:dyDescent="0.2">
      <c r="A157" s="81"/>
      <c r="B157" s="81"/>
      <c r="C157" s="81"/>
      <c r="D157" s="81"/>
      <c r="E157" s="81"/>
      <c r="F157" s="81"/>
      <c r="G157" s="81"/>
      <c r="H157" s="81"/>
      <c r="I157" s="81"/>
      <c r="J157" s="90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</row>
    <row r="158" spans="1:52" ht="15" customHeight="1" x14ac:dyDescent="0.2">
      <c r="A158" s="81"/>
      <c r="B158" s="81"/>
      <c r="C158" s="81"/>
      <c r="D158" s="81"/>
      <c r="E158" s="81"/>
      <c r="F158" s="81"/>
      <c r="G158" s="81"/>
      <c r="H158" s="81"/>
      <c r="I158" s="81"/>
      <c r="J158" s="90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</row>
    <row r="159" spans="1:52" ht="15" customHeight="1" x14ac:dyDescent="0.2">
      <c r="A159" s="81"/>
      <c r="B159" s="81"/>
      <c r="C159" s="81"/>
      <c r="D159" s="81"/>
      <c r="E159" s="81"/>
      <c r="F159" s="81"/>
      <c r="G159" s="81"/>
      <c r="H159" s="81"/>
      <c r="I159" s="81"/>
      <c r="J159" s="90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</row>
    <row r="160" spans="1:52" ht="15" customHeight="1" x14ac:dyDescent="0.2">
      <c r="A160" s="81"/>
      <c r="B160" s="81"/>
      <c r="C160" s="81"/>
      <c r="D160" s="81"/>
      <c r="E160" s="81"/>
      <c r="F160" s="81"/>
      <c r="G160" s="81"/>
      <c r="H160" s="81"/>
      <c r="I160" s="81"/>
      <c r="J160" s="90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</row>
    <row r="161" spans="1:52" ht="15" customHeight="1" x14ac:dyDescent="0.2">
      <c r="A161" s="81"/>
      <c r="B161" s="81"/>
      <c r="C161" s="81"/>
      <c r="D161" s="81"/>
      <c r="E161" s="81"/>
      <c r="F161" s="81"/>
      <c r="G161" s="81"/>
      <c r="H161" s="81"/>
      <c r="I161" s="81"/>
      <c r="J161" s="90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</row>
    <row r="162" spans="1:52" ht="15" customHeight="1" x14ac:dyDescent="0.2">
      <c r="A162" s="81"/>
      <c r="B162" s="81"/>
      <c r="C162" s="81"/>
      <c r="D162" s="81"/>
      <c r="E162" s="81"/>
      <c r="F162" s="81"/>
      <c r="G162" s="81"/>
      <c r="H162" s="81"/>
      <c r="I162" s="81"/>
      <c r="J162" s="90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</row>
    <row r="163" spans="1:52" ht="15" customHeight="1" x14ac:dyDescent="0.2">
      <c r="A163" s="81"/>
      <c r="B163" s="81"/>
      <c r="C163" s="81"/>
      <c r="D163" s="81"/>
      <c r="E163" s="81"/>
      <c r="F163" s="81"/>
      <c r="G163" s="81"/>
      <c r="H163" s="81"/>
      <c r="I163" s="81"/>
      <c r="J163" s="90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</row>
    <row r="164" spans="1:52" ht="15" customHeight="1" x14ac:dyDescent="0.2">
      <c r="A164" s="81"/>
      <c r="B164" s="81"/>
      <c r="C164" s="81"/>
      <c r="D164" s="81"/>
      <c r="E164" s="81"/>
      <c r="F164" s="81"/>
      <c r="G164" s="81"/>
      <c r="H164" s="81"/>
      <c r="I164" s="81"/>
      <c r="J164" s="90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</row>
    <row r="165" spans="1:52" ht="15" customHeight="1" x14ac:dyDescent="0.2">
      <c r="A165" s="81"/>
      <c r="B165" s="81"/>
      <c r="C165" s="81"/>
      <c r="D165" s="81"/>
      <c r="E165" s="81"/>
      <c r="F165" s="81"/>
      <c r="G165" s="81"/>
      <c r="H165" s="81"/>
      <c r="I165" s="81"/>
      <c r="J165" s="90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</row>
    <row r="166" spans="1:52" ht="15" customHeight="1" x14ac:dyDescent="0.2">
      <c r="A166" s="81"/>
      <c r="B166" s="81"/>
      <c r="C166" s="81"/>
      <c r="D166" s="81"/>
      <c r="E166" s="81"/>
      <c r="F166" s="81"/>
      <c r="G166" s="81"/>
      <c r="H166" s="81"/>
      <c r="I166" s="81"/>
      <c r="J166" s="90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</row>
    <row r="167" spans="1:52" ht="15" customHeight="1" x14ac:dyDescent="0.2">
      <c r="A167" s="81"/>
      <c r="B167" s="81"/>
      <c r="C167" s="81"/>
      <c r="D167" s="81"/>
      <c r="E167" s="81"/>
      <c r="F167" s="81"/>
      <c r="G167" s="81"/>
      <c r="H167" s="81"/>
      <c r="I167" s="81"/>
      <c r="J167" s="90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</row>
    <row r="168" spans="1:52" ht="15" customHeight="1" x14ac:dyDescent="0.2">
      <c r="A168" s="81"/>
      <c r="B168" s="81"/>
      <c r="C168" s="81"/>
      <c r="D168" s="81"/>
      <c r="E168" s="81"/>
      <c r="F168" s="81"/>
      <c r="G168" s="81"/>
      <c r="H168" s="81"/>
      <c r="I168" s="81"/>
      <c r="J168" s="90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</row>
    <row r="169" spans="1:52" ht="15" customHeight="1" x14ac:dyDescent="0.2">
      <c r="A169" s="81"/>
      <c r="B169" s="81"/>
      <c r="C169" s="81"/>
      <c r="D169" s="81"/>
      <c r="E169" s="81"/>
      <c r="F169" s="81"/>
      <c r="G169" s="81"/>
      <c r="H169" s="81"/>
      <c r="I169" s="81"/>
      <c r="J169" s="90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</row>
    <row r="170" spans="1:52" ht="15" customHeight="1" x14ac:dyDescent="0.2">
      <c r="A170" s="81"/>
      <c r="B170" s="81"/>
      <c r="C170" s="81"/>
      <c r="D170" s="81"/>
      <c r="E170" s="81"/>
      <c r="F170" s="81"/>
      <c r="G170" s="81"/>
      <c r="H170" s="81"/>
      <c r="I170" s="81"/>
      <c r="J170" s="90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</row>
    <row r="171" spans="1:52" ht="15" customHeight="1" x14ac:dyDescent="0.2">
      <c r="A171" s="81"/>
      <c r="B171" s="81"/>
      <c r="C171" s="81"/>
      <c r="D171" s="81"/>
      <c r="E171" s="81"/>
      <c r="F171" s="81"/>
      <c r="G171" s="81"/>
      <c r="H171" s="81"/>
      <c r="I171" s="81"/>
      <c r="J171" s="90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</row>
    <row r="172" spans="1:52" ht="15" customHeight="1" x14ac:dyDescent="0.2">
      <c r="A172" s="81"/>
      <c r="B172" s="81"/>
      <c r="C172" s="81"/>
      <c r="D172" s="81"/>
      <c r="E172" s="81"/>
      <c r="F172" s="81"/>
      <c r="G172" s="81"/>
      <c r="H172" s="81"/>
      <c r="I172" s="81"/>
      <c r="J172" s="90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</row>
    <row r="173" spans="1:52" ht="15" customHeight="1" x14ac:dyDescent="0.2">
      <c r="A173" s="81"/>
      <c r="B173" s="81"/>
      <c r="C173" s="81"/>
      <c r="D173" s="81"/>
      <c r="E173" s="81"/>
      <c r="F173" s="81"/>
      <c r="G173" s="81"/>
      <c r="H173" s="81"/>
      <c r="I173" s="81"/>
      <c r="J173" s="90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</row>
    <row r="174" spans="1:52" ht="15" customHeight="1" x14ac:dyDescent="0.2">
      <c r="A174" s="81"/>
      <c r="B174" s="81"/>
      <c r="C174" s="81"/>
      <c r="D174" s="81"/>
      <c r="E174" s="81"/>
      <c r="F174" s="81"/>
      <c r="G174" s="81"/>
      <c r="H174" s="81"/>
      <c r="I174" s="81"/>
      <c r="J174" s="90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</row>
    <row r="175" spans="1:52" ht="15" customHeight="1" x14ac:dyDescent="0.2">
      <c r="A175" s="81"/>
      <c r="B175" s="81"/>
      <c r="C175" s="81"/>
      <c r="D175" s="81"/>
      <c r="E175" s="81"/>
      <c r="F175" s="81"/>
      <c r="G175" s="81"/>
      <c r="H175" s="81"/>
      <c r="I175" s="81"/>
      <c r="J175" s="90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</row>
    <row r="176" spans="1:52" ht="15" customHeight="1" x14ac:dyDescent="0.2">
      <c r="A176" s="81"/>
      <c r="B176" s="81"/>
      <c r="C176" s="81"/>
      <c r="D176" s="81"/>
      <c r="E176" s="81"/>
      <c r="F176" s="81"/>
      <c r="G176" s="81"/>
      <c r="H176" s="81"/>
      <c r="I176" s="81"/>
      <c r="J176" s="90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</row>
    <row r="177" spans="1:52" ht="15" customHeight="1" x14ac:dyDescent="0.2">
      <c r="A177" s="81"/>
      <c r="B177" s="81"/>
      <c r="C177" s="81"/>
      <c r="D177" s="81"/>
      <c r="E177" s="81"/>
      <c r="F177" s="81"/>
      <c r="G177" s="81"/>
      <c r="H177" s="81"/>
      <c r="I177" s="81"/>
      <c r="J177" s="90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</row>
    <row r="178" spans="1:52" ht="15" customHeight="1" x14ac:dyDescent="0.2">
      <c r="A178" s="81"/>
      <c r="B178" s="81"/>
      <c r="C178" s="81"/>
      <c r="D178" s="81"/>
      <c r="E178" s="81"/>
      <c r="F178" s="81"/>
      <c r="G178" s="81"/>
      <c r="H178" s="81"/>
      <c r="I178" s="81"/>
      <c r="J178" s="90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</row>
    <row r="179" spans="1:52" ht="15" customHeight="1" x14ac:dyDescent="0.2">
      <c r="A179" s="81"/>
      <c r="B179" s="81"/>
      <c r="C179" s="81"/>
      <c r="D179" s="81"/>
      <c r="E179" s="81"/>
      <c r="F179" s="81"/>
      <c r="G179" s="81"/>
      <c r="H179" s="81"/>
      <c r="I179" s="81"/>
      <c r="J179" s="90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</row>
    <row r="180" spans="1:52" ht="15" customHeight="1" x14ac:dyDescent="0.2">
      <c r="A180" s="81"/>
      <c r="B180" s="81"/>
      <c r="C180" s="81"/>
      <c r="D180" s="81"/>
      <c r="E180" s="81"/>
      <c r="F180" s="81"/>
      <c r="G180" s="81"/>
      <c r="H180" s="81"/>
      <c r="I180" s="81"/>
      <c r="J180" s="90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</row>
    <row r="181" spans="1:52" ht="15" customHeight="1" x14ac:dyDescent="0.2">
      <c r="A181" s="81"/>
      <c r="B181" s="81"/>
      <c r="C181" s="81"/>
      <c r="D181" s="81"/>
      <c r="E181" s="81"/>
      <c r="F181" s="81"/>
      <c r="G181" s="81"/>
      <c r="H181" s="81"/>
      <c r="I181" s="81"/>
      <c r="J181" s="90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</row>
    <row r="182" spans="1:52" ht="15" customHeight="1" x14ac:dyDescent="0.2">
      <c r="A182" s="81"/>
      <c r="B182" s="81"/>
      <c r="C182" s="81"/>
      <c r="D182" s="81"/>
      <c r="E182" s="81"/>
      <c r="F182" s="81"/>
      <c r="G182" s="81"/>
      <c r="H182" s="81"/>
      <c r="I182" s="81"/>
      <c r="J182" s="90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</row>
    <row r="183" spans="1:52" ht="15" customHeight="1" x14ac:dyDescent="0.2">
      <c r="A183" s="81"/>
      <c r="B183" s="81"/>
      <c r="C183" s="81"/>
      <c r="D183" s="81"/>
      <c r="E183" s="81"/>
      <c r="F183" s="81"/>
      <c r="G183" s="81"/>
      <c r="H183" s="81"/>
      <c r="I183" s="81"/>
      <c r="J183" s="90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</row>
    <row r="184" spans="1:52" ht="15" customHeight="1" x14ac:dyDescent="0.2">
      <c r="A184" s="81"/>
      <c r="B184" s="81"/>
      <c r="C184" s="81"/>
      <c r="D184" s="81"/>
      <c r="E184" s="81"/>
      <c r="F184" s="81"/>
      <c r="G184" s="81"/>
      <c r="H184" s="81"/>
      <c r="I184" s="81"/>
      <c r="J184" s="90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</row>
    <row r="185" spans="1:52" ht="15" customHeight="1" x14ac:dyDescent="0.2">
      <c r="A185" s="81"/>
      <c r="B185" s="81"/>
      <c r="C185" s="81"/>
      <c r="D185" s="81"/>
      <c r="E185" s="81"/>
      <c r="F185" s="81"/>
      <c r="G185" s="81"/>
      <c r="H185" s="81"/>
      <c r="I185" s="81"/>
      <c r="J185" s="90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</row>
    <row r="186" spans="1:52" ht="15" customHeight="1" x14ac:dyDescent="0.2">
      <c r="A186" s="81"/>
      <c r="B186" s="81"/>
      <c r="C186" s="81"/>
      <c r="D186" s="81"/>
      <c r="E186" s="81"/>
      <c r="F186" s="81"/>
      <c r="G186" s="81"/>
      <c r="H186" s="81"/>
      <c r="I186" s="81"/>
      <c r="J186" s="90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</row>
    <row r="187" spans="1:52" ht="15" customHeight="1" x14ac:dyDescent="0.2">
      <c r="A187" s="81"/>
      <c r="B187" s="81"/>
      <c r="C187" s="81"/>
      <c r="D187" s="81"/>
      <c r="E187" s="81"/>
      <c r="F187" s="81"/>
      <c r="G187" s="81"/>
      <c r="H187" s="81"/>
      <c r="I187" s="81"/>
      <c r="J187" s="90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</row>
    <row r="188" spans="1:52" ht="15" customHeight="1" x14ac:dyDescent="0.2">
      <c r="A188" s="81"/>
      <c r="B188" s="81"/>
      <c r="C188" s="81"/>
      <c r="D188" s="81"/>
      <c r="E188" s="81"/>
      <c r="F188" s="81"/>
      <c r="G188" s="81"/>
      <c r="H188" s="81"/>
      <c r="I188" s="81"/>
      <c r="J188" s="90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</row>
    <row r="189" spans="1:52" ht="15" customHeight="1" x14ac:dyDescent="0.2">
      <c r="A189" s="81"/>
      <c r="B189" s="81"/>
      <c r="C189" s="81"/>
      <c r="D189" s="81"/>
      <c r="E189" s="81"/>
      <c r="F189" s="81"/>
      <c r="G189" s="81"/>
      <c r="H189" s="81"/>
      <c r="I189" s="81"/>
      <c r="J189" s="90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</row>
    <row r="190" spans="1:52" ht="15" customHeight="1" x14ac:dyDescent="0.2">
      <c r="A190" s="81"/>
      <c r="B190" s="81"/>
      <c r="C190" s="81"/>
      <c r="D190" s="81"/>
      <c r="E190" s="81"/>
      <c r="F190" s="81"/>
      <c r="G190" s="81"/>
      <c r="H190" s="81"/>
      <c r="I190" s="81"/>
      <c r="J190" s="90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</row>
    <row r="191" spans="1:52" ht="15" customHeight="1" x14ac:dyDescent="0.2">
      <c r="A191" s="81"/>
      <c r="B191" s="81"/>
      <c r="C191" s="81"/>
      <c r="D191" s="81"/>
      <c r="E191" s="81"/>
      <c r="F191" s="81"/>
      <c r="G191" s="81"/>
      <c r="H191" s="81"/>
      <c r="I191" s="81"/>
      <c r="J191" s="90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</row>
    <row r="192" spans="1:52" ht="15" customHeight="1" x14ac:dyDescent="0.2">
      <c r="A192" s="81"/>
      <c r="B192" s="81"/>
      <c r="C192" s="81"/>
      <c r="D192" s="81"/>
      <c r="E192" s="81"/>
      <c r="F192" s="81"/>
      <c r="G192" s="81"/>
      <c r="H192" s="81"/>
      <c r="I192" s="81"/>
      <c r="J192" s="90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</row>
    <row r="193" spans="1:52" ht="15" customHeight="1" x14ac:dyDescent="0.2">
      <c r="A193" s="81"/>
      <c r="B193" s="81"/>
      <c r="C193" s="81"/>
      <c r="D193" s="81"/>
      <c r="E193" s="81"/>
      <c r="F193" s="81"/>
      <c r="G193" s="81"/>
      <c r="H193" s="81"/>
      <c r="I193" s="81"/>
      <c r="J193" s="90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</row>
    <row r="194" spans="1:52" ht="15" customHeight="1" x14ac:dyDescent="0.2">
      <c r="A194" s="81"/>
      <c r="B194" s="81"/>
      <c r="C194" s="81"/>
      <c r="D194" s="81"/>
      <c r="E194" s="81"/>
      <c r="F194" s="81"/>
      <c r="G194" s="81"/>
      <c r="H194" s="81"/>
      <c r="I194" s="81"/>
      <c r="J194" s="90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</row>
    <row r="195" spans="1:52" ht="15" customHeight="1" x14ac:dyDescent="0.2">
      <c r="A195" s="81"/>
      <c r="B195" s="81"/>
      <c r="C195" s="81"/>
      <c r="D195" s="81"/>
      <c r="E195" s="81"/>
      <c r="F195" s="81"/>
      <c r="G195" s="81"/>
      <c r="H195" s="81"/>
      <c r="I195" s="81"/>
      <c r="J195" s="90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</row>
    <row r="196" spans="1:52" ht="15" customHeight="1" x14ac:dyDescent="0.2">
      <c r="A196" s="81"/>
      <c r="B196" s="81"/>
      <c r="C196" s="81"/>
      <c r="D196" s="81"/>
      <c r="E196" s="81"/>
      <c r="F196" s="81"/>
      <c r="G196" s="81"/>
      <c r="H196" s="81"/>
      <c r="I196" s="81"/>
      <c r="J196" s="90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</row>
    <row r="197" spans="1:52" ht="15" customHeight="1" x14ac:dyDescent="0.2">
      <c r="A197" s="81"/>
      <c r="B197" s="81"/>
      <c r="C197" s="81"/>
      <c r="D197" s="81"/>
      <c r="E197" s="81"/>
      <c r="F197" s="81"/>
      <c r="G197" s="81"/>
      <c r="H197" s="81"/>
      <c r="I197" s="81"/>
      <c r="J197" s="90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</row>
    <row r="198" spans="1:52" ht="15" customHeight="1" x14ac:dyDescent="0.2">
      <c r="A198" s="81"/>
      <c r="B198" s="81"/>
      <c r="C198" s="81"/>
      <c r="D198" s="81"/>
      <c r="E198" s="81"/>
      <c r="F198" s="81"/>
      <c r="G198" s="81"/>
      <c r="H198" s="81"/>
      <c r="I198" s="81"/>
      <c r="J198" s="90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</row>
    <row r="199" spans="1:52" ht="15" customHeight="1" x14ac:dyDescent="0.2">
      <c r="A199" s="81"/>
      <c r="B199" s="81"/>
      <c r="C199" s="81"/>
      <c r="D199" s="81"/>
      <c r="E199" s="81"/>
      <c r="F199" s="81"/>
      <c r="G199" s="81"/>
      <c r="H199" s="81"/>
      <c r="I199" s="81"/>
      <c r="J199" s="90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</row>
    <row r="200" spans="1:52" ht="15" customHeight="1" x14ac:dyDescent="0.2">
      <c r="A200" s="81"/>
      <c r="B200" s="81"/>
      <c r="C200" s="81"/>
      <c r="D200" s="81"/>
      <c r="E200" s="81"/>
      <c r="F200" s="81"/>
      <c r="G200" s="81"/>
      <c r="H200" s="81"/>
      <c r="I200" s="81"/>
      <c r="J200" s="90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200"/>
  <sheetViews>
    <sheetView showGridLines="0" tabSelected="1" zoomScaleNormal="100" workbookViewId="0">
      <selection activeCell="H26" sqref="H26"/>
    </sheetView>
  </sheetViews>
  <sheetFormatPr baseColWidth="10" defaultColWidth="8.7109375" defaultRowHeight="12.75" x14ac:dyDescent="0.2"/>
  <cols>
    <col min="1" max="26" width="18" customWidth="1"/>
  </cols>
  <sheetData>
    <row r="1" spans="1:52" ht="23.25" customHeight="1" x14ac:dyDescent="0.2">
      <c r="A1" s="88" t="s">
        <v>161</v>
      </c>
      <c r="B1" s="88" t="s">
        <v>162</v>
      </c>
      <c r="C1" s="88" t="s">
        <v>163</v>
      </c>
      <c r="D1" s="88" t="s">
        <v>164</v>
      </c>
      <c r="E1" s="88" t="s">
        <v>177</v>
      </c>
      <c r="F1" s="88" t="s">
        <v>178</v>
      </c>
      <c r="G1" s="88" t="s">
        <v>179</v>
      </c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</row>
    <row r="2" spans="1:52" ht="15" hidden="1" customHeight="1" x14ac:dyDescent="0.2">
      <c r="A2" s="81" t="s">
        <v>5</v>
      </c>
      <c r="B2" s="81">
        <v>2025</v>
      </c>
      <c r="C2" s="81">
        <v>1</v>
      </c>
      <c r="D2" s="81" t="s">
        <v>53</v>
      </c>
      <c r="E2" s="81" t="s">
        <v>180</v>
      </c>
      <c r="F2" s="81" t="s">
        <v>181</v>
      </c>
      <c r="G2" s="89">
        <v>590</v>
      </c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</row>
    <row r="3" spans="1:52" ht="15" hidden="1" customHeight="1" x14ac:dyDescent="0.2">
      <c r="A3" s="81" t="s">
        <v>5</v>
      </c>
      <c r="B3" s="81">
        <v>2025</v>
      </c>
      <c r="C3" s="81">
        <v>2</v>
      </c>
      <c r="D3" s="81" t="s">
        <v>54</v>
      </c>
      <c r="E3" s="81" t="s">
        <v>180</v>
      </c>
      <c r="F3" s="81" t="s">
        <v>181</v>
      </c>
      <c r="G3" s="89">
        <v>457</v>
      </c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</row>
    <row r="4" spans="1:52" ht="15" hidden="1" customHeight="1" x14ac:dyDescent="0.2">
      <c r="A4" s="81" t="s">
        <v>5</v>
      </c>
      <c r="B4" s="81">
        <v>2025</v>
      </c>
      <c r="C4" s="81">
        <v>3</v>
      </c>
      <c r="D4" s="81" t="s">
        <v>55</v>
      </c>
      <c r="E4" s="81" t="s">
        <v>180</v>
      </c>
      <c r="F4" s="81" t="s">
        <v>181</v>
      </c>
      <c r="G4" s="89">
        <v>210</v>
      </c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</row>
    <row r="5" spans="1:52" ht="15" hidden="1" customHeight="1" x14ac:dyDescent="0.2">
      <c r="A5" s="81" t="s">
        <v>5</v>
      </c>
      <c r="B5" s="81">
        <v>2025</v>
      </c>
      <c r="C5" s="81">
        <v>4</v>
      </c>
      <c r="D5" s="81" t="s">
        <v>56</v>
      </c>
      <c r="E5" s="81" t="s">
        <v>180</v>
      </c>
      <c r="F5" s="81" t="s">
        <v>181</v>
      </c>
      <c r="G5" s="89">
        <v>148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</row>
    <row r="6" spans="1:52" ht="15" hidden="1" customHeight="1" x14ac:dyDescent="0.2">
      <c r="A6" s="81" t="s">
        <v>5</v>
      </c>
      <c r="B6" s="81">
        <v>2025</v>
      </c>
      <c r="C6" s="81">
        <v>5</v>
      </c>
      <c r="D6" s="81" t="s">
        <v>57</v>
      </c>
      <c r="E6" s="81" t="s">
        <v>180</v>
      </c>
      <c r="F6" s="81" t="s">
        <v>181</v>
      </c>
      <c r="G6" s="89">
        <v>144</v>
      </c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</row>
    <row r="7" spans="1:52" ht="15" hidden="1" customHeight="1" x14ac:dyDescent="0.2">
      <c r="A7" s="81" t="s">
        <v>5</v>
      </c>
      <c r="B7" s="81">
        <v>2025</v>
      </c>
      <c r="C7" s="81">
        <v>6</v>
      </c>
      <c r="D7" s="81" t="s">
        <v>58</v>
      </c>
      <c r="E7" s="81" t="s">
        <v>180</v>
      </c>
      <c r="F7" s="81" t="s">
        <v>181</v>
      </c>
      <c r="G7" s="89">
        <v>87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</row>
    <row r="8" spans="1:52" ht="15" hidden="1" customHeight="1" x14ac:dyDescent="0.2">
      <c r="A8" s="81" t="s">
        <v>5</v>
      </c>
      <c r="B8" s="81">
        <v>2025</v>
      </c>
      <c r="C8" s="81">
        <v>7</v>
      </c>
      <c r="D8" s="81" t="s">
        <v>59</v>
      </c>
      <c r="E8" s="81" t="s">
        <v>180</v>
      </c>
      <c r="F8" s="81" t="s">
        <v>181</v>
      </c>
      <c r="G8" s="89">
        <v>102</v>
      </c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</row>
    <row r="9" spans="1:52" ht="15" hidden="1" customHeight="1" x14ac:dyDescent="0.2">
      <c r="A9" s="81" t="s">
        <v>5</v>
      </c>
      <c r="B9" s="81">
        <v>2025</v>
      </c>
      <c r="C9" s="81">
        <v>8</v>
      </c>
      <c r="D9" s="81" t="s">
        <v>60</v>
      </c>
      <c r="E9" s="81" t="s">
        <v>180</v>
      </c>
      <c r="F9" s="81" t="s">
        <v>181</v>
      </c>
      <c r="G9" s="89">
        <v>130</v>
      </c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</row>
    <row r="10" spans="1:52" ht="15" hidden="1" customHeight="1" x14ac:dyDescent="0.2">
      <c r="A10" s="81" t="s">
        <v>5</v>
      </c>
      <c r="B10" s="81">
        <v>2025</v>
      </c>
      <c r="C10" s="81">
        <v>9</v>
      </c>
      <c r="D10" s="81" t="s">
        <v>61</v>
      </c>
      <c r="E10" s="81" t="s">
        <v>180</v>
      </c>
      <c r="F10" s="81" t="s">
        <v>181</v>
      </c>
      <c r="G10" s="89">
        <v>65</v>
      </c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</row>
    <row r="11" spans="1:52" ht="15" hidden="1" customHeight="1" x14ac:dyDescent="0.2">
      <c r="A11" s="81" t="s">
        <v>5</v>
      </c>
      <c r="B11" s="81">
        <v>2025</v>
      </c>
      <c r="C11" s="81">
        <v>10</v>
      </c>
      <c r="D11" s="81" t="s">
        <v>62</v>
      </c>
      <c r="E11" s="81" t="s">
        <v>180</v>
      </c>
      <c r="F11" s="81" t="s">
        <v>181</v>
      </c>
      <c r="G11" s="89">
        <v>166</v>
      </c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</row>
    <row r="12" spans="1:52" ht="15" hidden="1" customHeight="1" x14ac:dyDescent="0.2">
      <c r="A12" s="81" t="s">
        <v>5</v>
      </c>
      <c r="B12" s="81">
        <v>2025</v>
      </c>
      <c r="C12" s="81">
        <v>11</v>
      </c>
      <c r="D12" s="81" t="s">
        <v>63</v>
      </c>
      <c r="E12" s="81" t="s">
        <v>180</v>
      </c>
      <c r="F12" s="81" t="s">
        <v>181</v>
      </c>
      <c r="G12" s="89">
        <v>215</v>
      </c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</row>
    <row r="13" spans="1:52" ht="15" hidden="1" customHeight="1" x14ac:dyDescent="0.2">
      <c r="A13" s="81" t="s">
        <v>5</v>
      </c>
      <c r="B13" s="81">
        <v>2025</v>
      </c>
      <c r="C13" s="81">
        <v>12</v>
      </c>
      <c r="D13" s="81" t="s">
        <v>64</v>
      </c>
      <c r="E13" s="81" t="s">
        <v>180</v>
      </c>
      <c r="F13" s="81" t="s">
        <v>181</v>
      </c>
      <c r="G13" s="89">
        <v>364</v>
      </c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</row>
    <row r="14" spans="1:52" ht="15" hidden="1" customHeight="1" x14ac:dyDescent="0.2">
      <c r="A14" s="81" t="s">
        <v>5</v>
      </c>
      <c r="B14" s="81">
        <v>2025</v>
      </c>
      <c r="C14" s="81">
        <v>1</v>
      </c>
      <c r="D14" s="81" t="s">
        <v>53</v>
      </c>
      <c r="E14" s="81" t="s">
        <v>182</v>
      </c>
      <c r="F14" s="81" t="s">
        <v>181</v>
      </c>
      <c r="G14" s="89">
        <v>197</v>
      </c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</row>
    <row r="15" spans="1:52" ht="15" hidden="1" customHeight="1" x14ac:dyDescent="0.2">
      <c r="A15" s="81" t="s">
        <v>5</v>
      </c>
      <c r="B15" s="81">
        <v>2025</v>
      </c>
      <c r="C15" s="81">
        <v>2</v>
      </c>
      <c r="D15" s="81" t="s">
        <v>54</v>
      </c>
      <c r="E15" s="81" t="s">
        <v>182</v>
      </c>
      <c r="F15" s="81" t="s">
        <v>181</v>
      </c>
      <c r="G15" s="89">
        <v>146</v>
      </c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</row>
    <row r="16" spans="1:52" ht="15" hidden="1" customHeight="1" x14ac:dyDescent="0.2">
      <c r="A16" s="81" t="s">
        <v>5</v>
      </c>
      <c r="B16" s="81">
        <v>2025</v>
      </c>
      <c r="C16" s="81">
        <v>3</v>
      </c>
      <c r="D16" s="81" t="s">
        <v>55</v>
      </c>
      <c r="E16" s="81" t="s">
        <v>182</v>
      </c>
      <c r="F16" s="81" t="s">
        <v>181</v>
      </c>
      <c r="G16" s="89">
        <v>35</v>
      </c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</row>
    <row r="17" spans="1:52" ht="15" hidden="1" customHeight="1" x14ac:dyDescent="0.2">
      <c r="A17" s="81" t="s">
        <v>5</v>
      </c>
      <c r="B17" s="81">
        <v>2025</v>
      </c>
      <c r="C17" s="81">
        <v>4</v>
      </c>
      <c r="D17" s="81" t="s">
        <v>56</v>
      </c>
      <c r="E17" s="81" t="s">
        <v>182</v>
      </c>
      <c r="F17" s="81" t="s">
        <v>181</v>
      </c>
      <c r="G17" s="89">
        <v>17</v>
      </c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</row>
    <row r="18" spans="1:52" ht="15" hidden="1" customHeight="1" x14ac:dyDescent="0.2">
      <c r="A18" s="81" t="s">
        <v>5</v>
      </c>
      <c r="B18" s="81">
        <v>2025</v>
      </c>
      <c r="C18" s="81">
        <v>5</v>
      </c>
      <c r="D18" s="81" t="s">
        <v>57</v>
      </c>
      <c r="E18" s="81" t="s">
        <v>182</v>
      </c>
      <c r="F18" s="81" t="s">
        <v>181</v>
      </c>
      <c r="G18" s="89">
        <v>11</v>
      </c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</row>
    <row r="19" spans="1:52" ht="15" hidden="1" customHeight="1" x14ac:dyDescent="0.2">
      <c r="A19" s="81" t="s">
        <v>5</v>
      </c>
      <c r="B19" s="81">
        <v>2025</v>
      </c>
      <c r="C19" s="81">
        <v>6</v>
      </c>
      <c r="D19" s="81" t="s">
        <v>58</v>
      </c>
      <c r="E19" s="81" t="s">
        <v>182</v>
      </c>
      <c r="F19" s="81" t="s">
        <v>181</v>
      </c>
      <c r="G19" s="89">
        <v>9</v>
      </c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</row>
    <row r="20" spans="1:52" ht="15" hidden="1" customHeight="1" x14ac:dyDescent="0.2">
      <c r="A20" s="81" t="s">
        <v>5</v>
      </c>
      <c r="B20" s="81">
        <v>2025</v>
      </c>
      <c r="C20" s="81">
        <v>7</v>
      </c>
      <c r="D20" s="81" t="s">
        <v>59</v>
      </c>
      <c r="E20" s="81" t="s">
        <v>182</v>
      </c>
      <c r="F20" s="81" t="s">
        <v>181</v>
      </c>
      <c r="G20" s="89">
        <v>12</v>
      </c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</row>
    <row r="21" spans="1:52" ht="15" hidden="1" customHeight="1" x14ac:dyDescent="0.2">
      <c r="A21" s="81" t="s">
        <v>5</v>
      </c>
      <c r="B21" s="81">
        <v>2025</v>
      </c>
      <c r="C21" s="81">
        <v>8</v>
      </c>
      <c r="D21" s="81" t="s">
        <v>60</v>
      </c>
      <c r="E21" s="81" t="s">
        <v>182</v>
      </c>
      <c r="F21" s="81" t="s">
        <v>181</v>
      </c>
      <c r="G21" s="89">
        <v>17</v>
      </c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</row>
    <row r="22" spans="1:52" ht="15" hidden="1" customHeight="1" x14ac:dyDescent="0.2">
      <c r="A22" s="81" t="s">
        <v>5</v>
      </c>
      <c r="B22" s="81">
        <v>2025</v>
      </c>
      <c r="C22" s="81">
        <v>9</v>
      </c>
      <c r="D22" s="81" t="s">
        <v>61</v>
      </c>
      <c r="E22" s="81" t="s">
        <v>182</v>
      </c>
      <c r="F22" s="81" t="s">
        <v>181</v>
      </c>
      <c r="G22" s="89">
        <v>4</v>
      </c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</row>
    <row r="23" spans="1:52" ht="15" hidden="1" customHeight="1" x14ac:dyDescent="0.2">
      <c r="A23" s="81" t="s">
        <v>5</v>
      </c>
      <c r="B23" s="81">
        <v>2025</v>
      </c>
      <c r="C23" s="81">
        <v>10</v>
      </c>
      <c r="D23" s="81" t="s">
        <v>62</v>
      </c>
      <c r="E23" s="81" t="s">
        <v>182</v>
      </c>
      <c r="F23" s="81" t="s">
        <v>181</v>
      </c>
      <c r="G23" s="89">
        <v>28</v>
      </c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</row>
    <row r="24" spans="1:52" ht="15" hidden="1" customHeight="1" x14ac:dyDescent="0.2">
      <c r="A24" s="81" t="s">
        <v>5</v>
      </c>
      <c r="B24" s="81">
        <v>2025</v>
      </c>
      <c r="C24" s="81">
        <v>11</v>
      </c>
      <c r="D24" s="81" t="s">
        <v>63</v>
      </c>
      <c r="E24" s="81" t="s">
        <v>182</v>
      </c>
      <c r="F24" s="81" t="s">
        <v>181</v>
      </c>
      <c r="G24" s="89">
        <v>41</v>
      </c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</row>
    <row r="25" spans="1:52" ht="15" hidden="1" customHeight="1" x14ac:dyDescent="0.2">
      <c r="A25" s="81" t="s">
        <v>5</v>
      </c>
      <c r="B25" s="81">
        <v>2025</v>
      </c>
      <c r="C25" s="81">
        <v>12</v>
      </c>
      <c r="D25" s="81" t="s">
        <v>64</v>
      </c>
      <c r="E25" s="81" t="s">
        <v>182</v>
      </c>
      <c r="F25" s="81" t="s">
        <v>181</v>
      </c>
      <c r="G25" s="89">
        <v>80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</row>
    <row r="26" spans="1:52" ht="15" customHeight="1" x14ac:dyDescent="0.2">
      <c r="A26" s="81" t="s">
        <v>5</v>
      </c>
      <c r="B26" s="81">
        <v>2026</v>
      </c>
      <c r="C26" s="81">
        <v>1</v>
      </c>
      <c r="D26" s="81" t="s">
        <v>53</v>
      </c>
      <c r="E26" s="81" t="s">
        <v>180</v>
      </c>
      <c r="F26" s="81" t="s">
        <v>181</v>
      </c>
      <c r="G26" s="89">
        <v>493</v>
      </c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</row>
    <row r="27" spans="1:52" ht="15" hidden="1" customHeight="1" x14ac:dyDescent="0.2">
      <c r="A27" s="81" t="s">
        <v>5</v>
      </c>
      <c r="B27" s="81">
        <v>2026</v>
      </c>
      <c r="C27" s="81">
        <v>2</v>
      </c>
      <c r="D27" s="81" t="s">
        <v>54</v>
      </c>
      <c r="E27" s="81" t="s">
        <v>180</v>
      </c>
      <c r="F27" s="81" t="s">
        <v>181</v>
      </c>
      <c r="G27" s="89">
        <v>358</v>
      </c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</row>
    <row r="28" spans="1:52" ht="15" hidden="1" customHeight="1" x14ac:dyDescent="0.2">
      <c r="A28" s="81" t="s">
        <v>5</v>
      </c>
      <c r="B28" s="81">
        <v>2026</v>
      </c>
      <c r="C28" s="81">
        <v>3</v>
      </c>
      <c r="D28" s="81" t="s">
        <v>55</v>
      </c>
      <c r="E28" s="81" t="s">
        <v>180</v>
      </c>
      <c r="F28" s="81" t="s">
        <v>181</v>
      </c>
      <c r="G28" s="89">
        <v>171</v>
      </c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</row>
    <row r="29" spans="1:52" ht="15" hidden="1" customHeight="1" x14ac:dyDescent="0.2">
      <c r="A29" s="81" t="s">
        <v>5</v>
      </c>
      <c r="B29" s="81">
        <v>2026</v>
      </c>
      <c r="C29" s="81">
        <v>4</v>
      </c>
      <c r="D29" s="81" t="s">
        <v>56</v>
      </c>
      <c r="E29" s="81" t="s">
        <v>180</v>
      </c>
      <c r="F29" s="81" t="s">
        <v>181</v>
      </c>
      <c r="G29" s="89">
        <v>119</v>
      </c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</row>
    <row r="30" spans="1:52" ht="15" hidden="1" customHeight="1" x14ac:dyDescent="0.2">
      <c r="A30" s="81" t="s">
        <v>5</v>
      </c>
      <c r="B30" s="81">
        <v>2026</v>
      </c>
      <c r="C30" s="81">
        <v>5</v>
      </c>
      <c r="D30" s="81" t="s">
        <v>57</v>
      </c>
      <c r="E30" s="81" t="s">
        <v>180</v>
      </c>
      <c r="F30" s="81" t="s">
        <v>181</v>
      </c>
      <c r="G30" s="89">
        <v>90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</row>
    <row r="31" spans="1:52" ht="15" hidden="1" customHeight="1" x14ac:dyDescent="0.2">
      <c r="A31" s="81" t="s">
        <v>5</v>
      </c>
      <c r="B31" s="81">
        <v>2026</v>
      </c>
      <c r="C31" s="81">
        <v>6</v>
      </c>
      <c r="D31" s="81" t="s">
        <v>58</v>
      </c>
      <c r="E31" s="81" t="s">
        <v>180</v>
      </c>
      <c r="F31" s="81" t="s">
        <v>181</v>
      </c>
      <c r="G31" s="89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</row>
    <row r="32" spans="1:52" ht="15" hidden="1" customHeight="1" x14ac:dyDescent="0.2">
      <c r="A32" s="81" t="s">
        <v>5</v>
      </c>
      <c r="B32" s="81">
        <v>2026</v>
      </c>
      <c r="C32" s="81">
        <v>7</v>
      </c>
      <c r="D32" s="81" t="s">
        <v>59</v>
      </c>
      <c r="E32" s="81" t="s">
        <v>180</v>
      </c>
      <c r="F32" s="81" t="s">
        <v>181</v>
      </c>
      <c r="G32" s="89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</row>
    <row r="33" spans="1:52" ht="15" hidden="1" customHeight="1" x14ac:dyDescent="0.2">
      <c r="A33" s="81" t="s">
        <v>5</v>
      </c>
      <c r="B33" s="81">
        <v>2026</v>
      </c>
      <c r="C33" s="81">
        <v>8</v>
      </c>
      <c r="D33" s="81" t="s">
        <v>60</v>
      </c>
      <c r="E33" s="81" t="s">
        <v>180</v>
      </c>
      <c r="F33" s="81" t="s">
        <v>181</v>
      </c>
      <c r="G33" s="89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</row>
    <row r="34" spans="1:52" ht="15" hidden="1" customHeight="1" x14ac:dyDescent="0.2">
      <c r="A34" s="81" t="s">
        <v>5</v>
      </c>
      <c r="B34" s="81">
        <v>2026</v>
      </c>
      <c r="C34" s="81">
        <v>9</v>
      </c>
      <c r="D34" s="81" t="s">
        <v>61</v>
      </c>
      <c r="E34" s="81" t="s">
        <v>180</v>
      </c>
      <c r="F34" s="81" t="s">
        <v>181</v>
      </c>
      <c r="G34" s="89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</row>
    <row r="35" spans="1:52" ht="15" hidden="1" customHeight="1" x14ac:dyDescent="0.2">
      <c r="A35" s="81" t="s">
        <v>5</v>
      </c>
      <c r="B35" s="81">
        <v>2026</v>
      </c>
      <c r="C35" s="81">
        <v>10</v>
      </c>
      <c r="D35" s="81" t="s">
        <v>62</v>
      </c>
      <c r="E35" s="81" t="s">
        <v>180</v>
      </c>
      <c r="F35" s="81" t="s">
        <v>181</v>
      </c>
      <c r="G35" s="89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</row>
    <row r="36" spans="1:52" ht="15" hidden="1" customHeight="1" x14ac:dyDescent="0.2">
      <c r="A36" s="81" t="s">
        <v>5</v>
      </c>
      <c r="B36" s="81">
        <v>2026</v>
      </c>
      <c r="C36" s="81">
        <v>11</v>
      </c>
      <c r="D36" s="81" t="s">
        <v>63</v>
      </c>
      <c r="E36" s="81" t="s">
        <v>180</v>
      </c>
      <c r="F36" s="81" t="s">
        <v>181</v>
      </c>
      <c r="G36" s="89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</row>
    <row r="37" spans="1:52" ht="15" hidden="1" customHeight="1" x14ac:dyDescent="0.2">
      <c r="A37" s="81" t="s">
        <v>5</v>
      </c>
      <c r="B37" s="81">
        <v>2026</v>
      </c>
      <c r="C37" s="81">
        <v>12</v>
      </c>
      <c r="D37" s="81" t="s">
        <v>64</v>
      </c>
      <c r="E37" s="81" t="s">
        <v>180</v>
      </c>
      <c r="F37" s="81" t="s">
        <v>181</v>
      </c>
      <c r="G37" s="89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</row>
    <row r="38" spans="1:52" ht="15" customHeight="1" x14ac:dyDescent="0.2">
      <c r="A38" s="81" t="s">
        <v>5</v>
      </c>
      <c r="B38" s="81">
        <v>2026</v>
      </c>
      <c r="C38" s="81">
        <v>1</v>
      </c>
      <c r="D38" s="81" t="s">
        <v>53</v>
      </c>
      <c r="E38" s="81" t="s">
        <v>182</v>
      </c>
      <c r="F38" s="81" t="s">
        <v>181</v>
      </c>
      <c r="G38" s="89">
        <v>186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</row>
    <row r="39" spans="1:52" ht="15" hidden="1" customHeight="1" x14ac:dyDescent="0.2">
      <c r="A39" s="81" t="s">
        <v>5</v>
      </c>
      <c r="B39" s="81">
        <v>2026</v>
      </c>
      <c r="C39" s="81">
        <v>2</v>
      </c>
      <c r="D39" s="81" t="s">
        <v>54</v>
      </c>
      <c r="E39" s="81" t="s">
        <v>182</v>
      </c>
      <c r="F39" s="81" t="s">
        <v>181</v>
      </c>
      <c r="G39" s="89">
        <v>130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</row>
    <row r="40" spans="1:52" ht="15" hidden="1" customHeight="1" x14ac:dyDescent="0.2">
      <c r="A40" s="81" t="s">
        <v>5</v>
      </c>
      <c r="B40" s="81">
        <v>2026</v>
      </c>
      <c r="C40" s="81">
        <v>3</v>
      </c>
      <c r="D40" s="81" t="s">
        <v>55</v>
      </c>
      <c r="E40" s="81" t="s">
        <v>182</v>
      </c>
      <c r="F40" s="81" t="s">
        <v>181</v>
      </c>
      <c r="G40" s="89">
        <v>33</v>
      </c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</row>
    <row r="41" spans="1:52" ht="15" hidden="1" customHeight="1" x14ac:dyDescent="0.2">
      <c r="A41" s="81" t="s">
        <v>5</v>
      </c>
      <c r="B41" s="81">
        <v>2026</v>
      </c>
      <c r="C41" s="81">
        <v>4</v>
      </c>
      <c r="D41" s="81" t="s">
        <v>56</v>
      </c>
      <c r="E41" s="81" t="s">
        <v>182</v>
      </c>
      <c r="F41" s="81" t="s">
        <v>181</v>
      </c>
      <c r="G41" s="89">
        <v>14</v>
      </c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</row>
    <row r="42" spans="1:52" ht="15" hidden="1" customHeight="1" x14ac:dyDescent="0.2">
      <c r="A42" s="81" t="s">
        <v>5</v>
      </c>
      <c r="B42" s="81">
        <v>2026</v>
      </c>
      <c r="C42" s="81">
        <v>5</v>
      </c>
      <c r="D42" s="81" t="s">
        <v>57</v>
      </c>
      <c r="E42" s="81" t="s">
        <v>182</v>
      </c>
      <c r="F42" s="81" t="s">
        <v>181</v>
      </c>
      <c r="G42" s="89">
        <v>10</v>
      </c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</row>
    <row r="43" spans="1:52" ht="15" hidden="1" customHeight="1" x14ac:dyDescent="0.2">
      <c r="A43" s="81" t="s">
        <v>5</v>
      </c>
      <c r="B43" s="81">
        <v>2026</v>
      </c>
      <c r="C43" s="81">
        <v>6</v>
      </c>
      <c r="D43" s="81" t="s">
        <v>58</v>
      </c>
      <c r="E43" s="81" t="s">
        <v>182</v>
      </c>
      <c r="F43" s="81" t="s">
        <v>181</v>
      </c>
      <c r="G43" s="89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</row>
    <row r="44" spans="1:52" ht="15" hidden="1" customHeight="1" x14ac:dyDescent="0.2">
      <c r="A44" s="81" t="s">
        <v>5</v>
      </c>
      <c r="B44" s="81">
        <v>2026</v>
      </c>
      <c r="C44" s="81">
        <v>7</v>
      </c>
      <c r="D44" s="81" t="s">
        <v>59</v>
      </c>
      <c r="E44" s="81" t="s">
        <v>182</v>
      </c>
      <c r="F44" s="81" t="s">
        <v>181</v>
      </c>
      <c r="G44" s="89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</row>
    <row r="45" spans="1:52" ht="15" hidden="1" customHeight="1" x14ac:dyDescent="0.2">
      <c r="A45" s="81" t="s">
        <v>5</v>
      </c>
      <c r="B45" s="81">
        <v>2026</v>
      </c>
      <c r="C45" s="81">
        <v>8</v>
      </c>
      <c r="D45" s="81" t="s">
        <v>60</v>
      </c>
      <c r="E45" s="81" t="s">
        <v>182</v>
      </c>
      <c r="F45" s="81" t="s">
        <v>181</v>
      </c>
      <c r="G45" s="89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</row>
    <row r="46" spans="1:52" ht="15" hidden="1" customHeight="1" x14ac:dyDescent="0.2">
      <c r="A46" s="81" t="s">
        <v>5</v>
      </c>
      <c r="B46" s="81">
        <v>2026</v>
      </c>
      <c r="C46" s="81">
        <v>9</v>
      </c>
      <c r="D46" s="81" t="s">
        <v>61</v>
      </c>
      <c r="E46" s="81" t="s">
        <v>182</v>
      </c>
      <c r="F46" s="81" t="s">
        <v>181</v>
      </c>
      <c r="G46" s="89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</row>
    <row r="47" spans="1:52" ht="15" hidden="1" customHeight="1" x14ac:dyDescent="0.2">
      <c r="A47" s="81" t="s">
        <v>5</v>
      </c>
      <c r="B47" s="81">
        <v>2026</v>
      </c>
      <c r="C47" s="81">
        <v>10</v>
      </c>
      <c r="D47" s="81" t="s">
        <v>62</v>
      </c>
      <c r="E47" s="81" t="s">
        <v>182</v>
      </c>
      <c r="F47" s="81" t="s">
        <v>181</v>
      </c>
      <c r="G47" s="89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</row>
    <row r="48" spans="1:52" ht="15" hidden="1" customHeight="1" x14ac:dyDescent="0.2">
      <c r="A48" s="81" t="s">
        <v>5</v>
      </c>
      <c r="B48" s="81">
        <v>2026</v>
      </c>
      <c r="C48" s="81">
        <v>11</v>
      </c>
      <c r="D48" s="81" t="s">
        <v>63</v>
      </c>
      <c r="E48" s="81" t="s">
        <v>182</v>
      </c>
      <c r="F48" s="81" t="s">
        <v>181</v>
      </c>
      <c r="G48" s="89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</row>
    <row r="49" spans="1:52" ht="15" hidden="1" customHeight="1" x14ac:dyDescent="0.2">
      <c r="A49" s="81" t="s">
        <v>5</v>
      </c>
      <c r="B49" s="81">
        <v>2026</v>
      </c>
      <c r="C49" s="81">
        <v>12</v>
      </c>
      <c r="D49" s="81" t="s">
        <v>64</v>
      </c>
      <c r="E49" s="81" t="s">
        <v>182</v>
      </c>
      <c r="F49" s="81" t="s">
        <v>181</v>
      </c>
      <c r="G49" s="89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</row>
    <row r="50" spans="1:52" ht="15" hidden="1" customHeight="1" x14ac:dyDescent="0.2">
      <c r="A50" s="81" t="s">
        <v>126</v>
      </c>
      <c r="B50" s="81">
        <v>2025</v>
      </c>
      <c r="C50" s="81">
        <v>1</v>
      </c>
      <c r="D50" s="81" t="s">
        <v>53</v>
      </c>
      <c r="E50" s="81" t="s">
        <v>180</v>
      </c>
      <c r="F50" s="81" t="s">
        <v>181</v>
      </c>
      <c r="G50" s="89">
        <v>94</v>
      </c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</row>
    <row r="51" spans="1:52" ht="15" hidden="1" customHeight="1" x14ac:dyDescent="0.2">
      <c r="A51" s="81" t="s">
        <v>126</v>
      </c>
      <c r="B51" s="81">
        <v>2025</v>
      </c>
      <c r="C51" s="81">
        <v>2</v>
      </c>
      <c r="D51" s="81" t="s">
        <v>54</v>
      </c>
      <c r="E51" s="81" t="s">
        <v>180</v>
      </c>
      <c r="F51" s="81" t="s">
        <v>181</v>
      </c>
      <c r="G51" s="89">
        <v>92</v>
      </c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</row>
    <row r="52" spans="1:52" ht="15" hidden="1" customHeight="1" x14ac:dyDescent="0.2">
      <c r="A52" s="81" t="s">
        <v>126</v>
      </c>
      <c r="B52" s="81">
        <v>2025</v>
      </c>
      <c r="C52" s="81">
        <v>3</v>
      </c>
      <c r="D52" s="81" t="s">
        <v>55</v>
      </c>
      <c r="E52" s="81" t="s">
        <v>180</v>
      </c>
      <c r="F52" s="81" t="s">
        <v>181</v>
      </c>
      <c r="G52" s="89">
        <v>81</v>
      </c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</row>
    <row r="53" spans="1:52" ht="15" hidden="1" customHeight="1" x14ac:dyDescent="0.2">
      <c r="A53" s="81" t="s">
        <v>126</v>
      </c>
      <c r="B53" s="81">
        <v>2025</v>
      </c>
      <c r="C53" s="81">
        <v>4</v>
      </c>
      <c r="D53" s="81" t="s">
        <v>56</v>
      </c>
      <c r="E53" s="81" t="s">
        <v>180</v>
      </c>
      <c r="F53" s="81" t="s">
        <v>181</v>
      </c>
      <c r="G53" s="89">
        <v>67</v>
      </c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</row>
    <row r="54" spans="1:52" ht="15" hidden="1" customHeight="1" x14ac:dyDescent="0.2">
      <c r="A54" s="81" t="s">
        <v>126</v>
      </c>
      <c r="B54" s="81">
        <v>2025</v>
      </c>
      <c r="C54" s="81">
        <v>5</v>
      </c>
      <c r="D54" s="81" t="s">
        <v>57</v>
      </c>
      <c r="E54" s="81" t="s">
        <v>180</v>
      </c>
      <c r="F54" s="81" t="s">
        <v>181</v>
      </c>
      <c r="G54" s="89">
        <v>50</v>
      </c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</row>
    <row r="55" spans="1:52" ht="15" hidden="1" customHeight="1" x14ac:dyDescent="0.2">
      <c r="A55" s="81" t="s">
        <v>126</v>
      </c>
      <c r="B55" s="81">
        <v>2025</v>
      </c>
      <c r="C55" s="81">
        <v>6</v>
      </c>
      <c r="D55" s="81" t="s">
        <v>58</v>
      </c>
      <c r="E55" s="81" t="s">
        <v>180</v>
      </c>
      <c r="F55" s="81" t="s">
        <v>181</v>
      </c>
      <c r="G55" s="89">
        <v>35</v>
      </c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</row>
    <row r="56" spans="1:52" ht="15" hidden="1" customHeight="1" x14ac:dyDescent="0.2">
      <c r="A56" s="81" t="s">
        <v>126</v>
      </c>
      <c r="B56" s="81">
        <v>2025</v>
      </c>
      <c r="C56" s="81">
        <v>7</v>
      </c>
      <c r="D56" s="81" t="s">
        <v>59</v>
      </c>
      <c r="E56" s="81" t="s">
        <v>180</v>
      </c>
      <c r="F56" s="81" t="s">
        <v>181</v>
      </c>
      <c r="G56" s="89">
        <v>38</v>
      </c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</row>
    <row r="57" spans="1:52" ht="15" hidden="1" customHeight="1" x14ac:dyDescent="0.2">
      <c r="A57" s="81" t="s">
        <v>126</v>
      </c>
      <c r="B57" s="81">
        <v>2025</v>
      </c>
      <c r="C57" s="81">
        <v>8</v>
      </c>
      <c r="D57" s="81" t="s">
        <v>60</v>
      </c>
      <c r="E57" s="81" t="s">
        <v>180</v>
      </c>
      <c r="F57" s="81" t="s">
        <v>181</v>
      </c>
      <c r="G57" s="89">
        <v>70</v>
      </c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</row>
    <row r="58" spans="1:52" ht="15" hidden="1" customHeight="1" x14ac:dyDescent="0.2">
      <c r="A58" s="81" t="s">
        <v>126</v>
      </c>
      <c r="B58" s="81">
        <v>2025</v>
      </c>
      <c r="C58" s="81">
        <v>9</v>
      </c>
      <c r="D58" s="81" t="s">
        <v>61</v>
      </c>
      <c r="E58" s="81" t="s">
        <v>180</v>
      </c>
      <c r="F58" s="81" t="s">
        <v>181</v>
      </c>
      <c r="G58" s="89">
        <v>65</v>
      </c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</row>
    <row r="59" spans="1:52" ht="15" hidden="1" customHeight="1" x14ac:dyDescent="0.2">
      <c r="A59" s="81" t="s">
        <v>126</v>
      </c>
      <c r="B59" s="81">
        <v>2025</v>
      </c>
      <c r="C59" s="81">
        <v>10</v>
      </c>
      <c r="D59" s="81" t="s">
        <v>62</v>
      </c>
      <c r="E59" s="81" t="s">
        <v>180</v>
      </c>
      <c r="F59" s="81" t="s">
        <v>181</v>
      </c>
      <c r="G59" s="89">
        <v>78</v>
      </c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</row>
    <row r="60" spans="1:52" ht="15" hidden="1" customHeight="1" x14ac:dyDescent="0.2">
      <c r="A60" s="81" t="s">
        <v>126</v>
      </c>
      <c r="B60" s="81">
        <v>2025</v>
      </c>
      <c r="C60" s="81">
        <v>11</v>
      </c>
      <c r="D60" s="81" t="s">
        <v>63</v>
      </c>
      <c r="E60" s="81" t="s">
        <v>180</v>
      </c>
      <c r="F60" s="81" t="s">
        <v>181</v>
      </c>
      <c r="G60" s="89">
        <v>82</v>
      </c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</row>
    <row r="61" spans="1:52" ht="15" hidden="1" customHeight="1" x14ac:dyDescent="0.2">
      <c r="A61" s="81" t="s">
        <v>126</v>
      </c>
      <c r="B61" s="81">
        <v>2025</v>
      </c>
      <c r="C61" s="81">
        <v>12</v>
      </c>
      <c r="D61" s="81" t="s">
        <v>64</v>
      </c>
      <c r="E61" s="81" t="s">
        <v>180</v>
      </c>
      <c r="F61" s="81" t="s">
        <v>181</v>
      </c>
      <c r="G61" s="89">
        <v>141</v>
      </c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</row>
    <row r="62" spans="1:52" ht="15" hidden="1" customHeight="1" x14ac:dyDescent="0.2">
      <c r="A62" s="81" t="s">
        <v>126</v>
      </c>
      <c r="B62" s="81">
        <v>2025</v>
      </c>
      <c r="C62" s="81">
        <v>1</v>
      </c>
      <c r="D62" s="81" t="s">
        <v>53</v>
      </c>
      <c r="E62" s="81" t="s">
        <v>182</v>
      </c>
      <c r="F62" s="81" t="s">
        <v>181</v>
      </c>
      <c r="G62" s="89">
        <v>10</v>
      </c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</row>
    <row r="63" spans="1:52" ht="15" hidden="1" customHeight="1" x14ac:dyDescent="0.2">
      <c r="A63" s="81" t="s">
        <v>126</v>
      </c>
      <c r="B63" s="81">
        <v>2025</v>
      </c>
      <c r="C63" s="81">
        <v>2</v>
      </c>
      <c r="D63" s="81" t="s">
        <v>54</v>
      </c>
      <c r="E63" s="81" t="s">
        <v>182</v>
      </c>
      <c r="F63" s="81" t="s">
        <v>181</v>
      </c>
      <c r="G63" s="89">
        <v>10</v>
      </c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</row>
    <row r="64" spans="1:52" ht="15" hidden="1" customHeight="1" x14ac:dyDescent="0.2">
      <c r="A64" s="81" t="s">
        <v>126</v>
      </c>
      <c r="B64" s="81">
        <v>2025</v>
      </c>
      <c r="C64" s="81">
        <v>3</v>
      </c>
      <c r="D64" s="81" t="s">
        <v>55</v>
      </c>
      <c r="E64" s="81" t="s">
        <v>182</v>
      </c>
      <c r="F64" s="81" t="s">
        <v>181</v>
      </c>
      <c r="G64" s="89">
        <v>6</v>
      </c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</row>
    <row r="65" spans="1:52" ht="15" hidden="1" customHeight="1" x14ac:dyDescent="0.2">
      <c r="A65" s="81" t="s">
        <v>126</v>
      </c>
      <c r="B65" s="81">
        <v>2025</v>
      </c>
      <c r="C65" s="81">
        <v>4</v>
      </c>
      <c r="D65" s="81" t="s">
        <v>56</v>
      </c>
      <c r="E65" s="81" t="s">
        <v>182</v>
      </c>
      <c r="F65" s="81" t="s">
        <v>181</v>
      </c>
      <c r="G65" s="89">
        <v>6</v>
      </c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</row>
    <row r="66" spans="1:52" ht="15" hidden="1" customHeight="1" x14ac:dyDescent="0.2">
      <c r="A66" s="81" t="s">
        <v>126</v>
      </c>
      <c r="B66" s="81">
        <v>2025</v>
      </c>
      <c r="C66" s="81">
        <v>5</v>
      </c>
      <c r="D66" s="81" t="s">
        <v>57</v>
      </c>
      <c r="E66" s="81" t="s">
        <v>182</v>
      </c>
      <c r="F66" s="81" t="s">
        <v>181</v>
      </c>
      <c r="G66" s="89">
        <v>4</v>
      </c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</row>
    <row r="67" spans="1:52" ht="15" hidden="1" customHeight="1" x14ac:dyDescent="0.2">
      <c r="A67" s="81" t="s">
        <v>126</v>
      </c>
      <c r="B67" s="81">
        <v>2025</v>
      </c>
      <c r="C67" s="81">
        <v>6</v>
      </c>
      <c r="D67" s="81" t="s">
        <v>58</v>
      </c>
      <c r="E67" s="81" t="s">
        <v>182</v>
      </c>
      <c r="F67" s="81" t="s">
        <v>181</v>
      </c>
      <c r="G67" s="89">
        <v>3</v>
      </c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</row>
    <row r="68" spans="1:52" ht="15" hidden="1" customHeight="1" x14ac:dyDescent="0.2">
      <c r="A68" s="81" t="s">
        <v>126</v>
      </c>
      <c r="B68" s="81">
        <v>2025</v>
      </c>
      <c r="C68" s="81">
        <v>7</v>
      </c>
      <c r="D68" s="81" t="s">
        <v>59</v>
      </c>
      <c r="E68" s="81" t="s">
        <v>182</v>
      </c>
      <c r="F68" s="81" t="s">
        <v>181</v>
      </c>
      <c r="G68" s="89">
        <v>5</v>
      </c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</row>
    <row r="69" spans="1:52" ht="15" hidden="1" customHeight="1" x14ac:dyDescent="0.2">
      <c r="A69" s="81" t="s">
        <v>126</v>
      </c>
      <c r="B69" s="81">
        <v>2025</v>
      </c>
      <c r="C69" s="81">
        <v>8</v>
      </c>
      <c r="D69" s="81" t="s">
        <v>60</v>
      </c>
      <c r="E69" s="81" t="s">
        <v>182</v>
      </c>
      <c r="F69" s="81" t="s">
        <v>181</v>
      </c>
      <c r="G69" s="89">
        <v>5</v>
      </c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</row>
    <row r="70" spans="1:52" ht="15" customHeight="1" x14ac:dyDescent="0.2">
      <c r="A70" s="81" t="s">
        <v>126</v>
      </c>
      <c r="B70" s="81">
        <v>2025</v>
      </c>
      <c r="C70" s="81">
        <v>9</v>
      </c>
      <c r="D70" s="81" t="s">
        <v>61</v>
      </c>
      <c r="E70" s="81" t="s">
        <v>182</v>
      </c>
      <c r="F70" s="81" t="s">
        <v>181</v>
      </c>
      <c r="G70" s="89">
        <v>4</v>
      </c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</row>
    <row r="71" spans="1:52" ht="15" customHeight="1" x14ac:dyDescent="0.2">
      <c r="A71" s="81" t="s">
        <v>126</v>
      </c>
      <c r="B71" s="81">
        <v>2025</v>
      </c>
      <c r="C71" s="81">
        <v>10</v>
      </c>
      <c r="D71" s="81" t="s">
        <v>62</v>
      </c>
      <c r="E71" s="81" t="s">
        <v>182</v>
      </c>
      <c r="F71" s="81" t="s">
        <v>181</v>
      </c>
      <c r="G71" s="89">
        <v>7</v>
      </c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</row>
    <row r="72" spans="1:52" ht="15" customHeight="1" x14ac:dyDescent="0.2">
      <c r="A72" s="81" t="s">
        <v>126</v>
      </c>
      <c r="B72" s="81">
        <v>2025</v>
      </c>
      <c r="C72" s="81">
        <v>11</v>
      </c>
      <c r="D72" s="81" t="s">
        <v>63</v>
      </c>
      <c r="E72" s="81" t="s">
        <v>182</v>
      </c>
      <c r="F72" s="81" t="s">
        <v>181</v>
      </c>
      <c r="G72" s="89">
        <v>9</v>
      </c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</row>
    <row r="73" spans="1:52" ht="15" customHeight="1" x14ac:dyDescent="0.2">
      <c r="A73" s="81" t="s">
        <v>126</v>
      </c>
      <c r="B73" s="81">
        <v>2025</v>
      </c>
      <c r="C73" s="81">
        <v>12</v>
      </c>
      <c r="D73" s="81" t="s">
        <v>64</v>
      </c>
      <c r="E73" s="81" t="s">
        <v>182</v>
      </c>
      <c r="F73" s="81" t="s">
        <v>181</v>
      </c>
      <c r="G73" s="89">
        <v>14</v>
      </c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</row>
    <row r="74" spans="1:52" ht="15" customHeight="1" x14ac:dyDescent="0.2">
      <c r="A74" s="81" t="s">
        <v>126</v>
      </c>
      <c r="B74" s="81">
        <v>2026</v>
      </c>
      <c r="C74" s="81">
        <v>1</v>
      </c>
      <c r="D74" s="81" t="s">
        <v>53</v>
      </c>
      <c r="E74" s="81" t="s">
        <v>180</v>
      </c>
      <c r="F74" s="81" t="s">
        <v>181</v>
      </c>
      <c r="G74" s="89">
        <v>106</v>
      </c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</row>
    <row r="75" spans="1:52" ht="15" customHeight="1" x14ac:dyDescent="0.2">
      <c r="A75" s="81" t="s">
        <v>126</v>
      </c>
      <c r="B75" s="81">
        <v>2026</v>
      </c>
      <c r="C75" s="81">
        <v>2</v>
      </c>
      <c r="D75" s="81" t="s">
        <v>54</v>
      </c>
      <c r="E75" s="81" t="s">
        <v>180</v>
      </c>
      <c r="F75" s="81" t="s">
        <v>181</v>
      </c>
      <c r="G75" s="89">
        <v>96</v>
      </c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</row>
    <row r="76" spans="1:52" ht="15" customHeight="1" x14ac:dyDescent="0.2">
      <c r="A76" s="81" t="s">
        <v>126</v>
      </c>
      <c r="B76" s="81">
        <v>2026</v>
      </c>
      <c r="C76" s="81">
        <v>3</v>
      </c>
      <c r="D76" s="81" t="s">
        <v>55</v>
      </c>
      <c r="E76" s="81" t="s">
        <v>180</v>
      </c>
      <c r="F76" s="81" t="s">
        <v>181</v>
      </c>
      <c r="G76" s="89">
        <v>89</v>
      </c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</row>
    <row r="77" spans="1:52" ht="15" customHeight="1" x14ac:dyDescent="0.2">
      <c r="A77" s="81" t="s">
        <v>126</v>
      </c>
      <c r="B77" s="81">
        <v>2026</v>
      </c>
      <c r="C77" s="81">
        <v>4</v>
      </c>
      <c r="D77" s="81" t="s">
        <v>56</v>
      </c>
      <c r="E77" s="81" t="s">
        <v>180</v>
      </c>
      <c r="F77" s="81" t="s">
        <v>181</v>
      </c>
      <c r="G77" s="89">
        <v>62</v>
      </c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</row>
    <row r="78" spans="1:52" ht="15" customHeight="1" x14ac:dyDescent="0.2">
      <c r="A78" s="81" t="s">
        <v>126</v>
      </c>
      <c r="B78" s="81">
        <v>2026</v>
      </c>
      <c r="C78" s="81">
        <v>5</v>
      </c>
      <c r="D78" s="81" t="s">
        <v>57</v>
      </c>
      <c r="E78" s="81" t="s">
        <v>180</v>
      </c>
      <c r="F78" s="81" t="s">
        <v>181</v>
      </c>
      <c r="G78" s="89">
        <v>57</v>
      </c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</row>
    <row r="79" spans="1:52" ht="15" customHeight="1" x14ac:dyDescent="0.2">
      <c r="A79" s="81" t="s">
        <v>126</v>
      </c>
      <c r="B79" s="81">
        <v>2026</v>
      </c>
      <c r="C79" s="81">
        <v>6</v>
      </c>
      <c r="D79" s="81" t="s">
        <v>58</v>
      </c>
      <c r="E79" s="81" t="s">
        <v>180</v>
      </c>
      <c r="F79" s="81" t="s">
        <v>181</v>
      </c>
      <c r="G79" s="89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</row>
    <row r="80" spans="1:52" ht="15" customHeight="1" x14ac:dyDescent="0.2">
      <c r="A80" s="81" t="s">
        <v>126</v>
      </c>
      <c r="B80" s="81">
        <v>2026</v>
      </c>
      <c r="C80" s="81">
        <v>7</v>
      </c>
      <c r="D80" s="81" t="s">
        <v>59</v>
      </c>
      <c r="E80" s="81" t="s">
        <v>180</v>
      </c>
      <c r="F80" s="81" t="s">
        <v>181</v>
      </c>
      <c r="G80" s="89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</row>
    <row r="81" spans="1:52" ht="15" customHeight="1" x14ac:dyDescent="0.2">
      <c r="A81" s="81" t="s">
        <v>126</v>
      </c>
      <c r="B81" s="81">
        <v>2026</v>
      </c>
      <c r="C81" s="81">
        <v>8</v>
      </c>
      <c r="D81" s="81" t="s">
        <v>60</v>
      </c>
      <c r="E81" s="81" t="s">
        <v>180</v>
      </c>
      <c r="F81" s="81" t="s">
        <v>181</v>
      </c>
      <c r="G81" s="89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</row>
    <row r="82" spans="1:52" ht="15" customHeight="1" x14ac:dyDescent="0.2">
      <c r="A82" s="81" t="s">
        <v>126</v>
      </c>
      <c r="B82" s="81">
        <v>2026</v>
      </c>
      <c r="C82" s="81">
        <v>9</v>
      </c>
      <c r="D82" s="81" t="s">
        <v>61</v>
      </c>
      <c r="E82" s="81" t="s">
        <v>180</v>
      </c>
      <c r="F82" s="81" t="s">
        <v>181</v>
      </c>
      <c r="G82" s="89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</row>
    <row r="83" spans="1:52" ht="15" customHeight="1" x14ac:dyDescent="0.2">
      <c r="A83" s="81" t="s">
        <v>126</v>
      </c>
      <c r="B83" s="81">
        <v>2026</v>
      </c>
      <c r="C83" s="81">
        <v>10</v>
      </c>
      <c r="D83" s="81" t="s">
        <v>62</v>
      </c>
      <c r="E83" s="81" t="s">
        <v>180</v>
      </c>
      <c r="F83" s="81" t="s">
        <v>181</v>
      </c>
      <c r="G83" s="89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</row>
    <row r="84" spans="1:52" ht="15" customHeight="1" x14ac:dyDescent="0.2">
      <c r="A84" s="81" t="s">
        <v>126</v>
      </c>
      <c r="B84" s="81">
        <v>2026</v>
      </c>
      <c r="C84" s="81">
        <v>11</v>
      </c>
      <c r="D84" s="81" t="s">
        <v>63</v>
      </c>
      <c r="E84" s="81" t="s">
        <v>180</v>
      </c>
      <c r="F84" s="81" t="s">
        <v>181</v>
      </c>
      <c r="G84" s="89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</row>
    <row r="85" spans="1:52" ht="15" customHeight="1" x14ac:dyDescent="0.2">
      <c r="A85" s="81" t="s">
        <v>126</v>
      </c>
      <c r="B85" s="81">
        <v>2026</v>
      </c>
      <c r="C85" s="81">
        <v>12</v>
      </c>
      <c r="D85" s="81" t="s">
        <v>64</v>
      </c>
      <c r="E85" s="81" t="s">
        <v>180</v>
      </c>
      <c r="F85" s="81" t="s">
        <v>181</v>
      </c>
      <c r="G85" s="89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</row>
    <row r="86" spans="1:52" ht="15" customHeight="1" x14ac:dyDescent="0.2">
      <c r="A86" s="81" t="s">
        <v>126</v>
      </c>
      <c r="B86" s="81">
        <v>2026</v>
      </c>
      <c r="C86" s="81">
        <v>1</v>
      </c>
      <c r="D86" s="81" t="s">
        <v>53</v>
      </c>
      <c r="E86" s="81" t="s">
        <v>182</v>
      </c>
      <c r="F86" s="81" t="s">
        <v>181</v>
      </c>
      <c r="G86" s="89">
        <v>11</v>
      </c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</row>
    <row r="87" spans="1:52" ht="15" customHeight="1" x14ac:dyDescent="0.2">
      <c r="A87" s="81" t="s">
        <v>126</v>
      </c>
      <c r="B87" s="81">
        <v>2026</v>
      </c>
      <c r="C87" s="81">
        <v>2</v>
      </c>
      <c r="D87" s="81" t="s">
        <v>54</v>
      </c>
      <c r="E87" s="81" t="s">
        <v>182</v>
      </c>
      <c r="F87" s="81" t="s">
        <v>181</v>
      </c>
      <c r="G87" s="89">
        <v>10</v>
      </c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</row>
    <row r="88" spans="1:52" ht="15" customHeight="1" x14ac:dyDescent="0.2">
      <c r="A88" s="81" t="s">
        <v>126</v>
      </c>
      <c r="B88" s="81">
        <v>2026</v>
      </c>
      <c r="C88" s="81">
        <v>3</v>
      </c>
      <c r="D88" s="81" t="s">
        <v>55</v>
      </c>
      <c r="E88" s="81" t="s">
        <v>182</v>
      </c>
      <c r="F88" s="81" t="s">
        <v>181</v>
      </c>
      <c r="G88" s="89">
        <v>8</v>
      </c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</row>
    <row r="89" spans="1:52" ht="15" customHeight="1" x14ac:dyDescent="0.2">
      <c r="A89" s="81" t="s">
        <v>126</v>
      </c>
      <c r="B89" s="81">
        <v>2026</v>
      </c>
      <c r="C89" s="81">
        <v>4</v>
      </c>
      <c r="D89" s="81" t="s">
        <v>56</v>
      </c>
      <c r="E89" s="81" t="s">
        <v>182</v>
      </c>
      <c r="F89" s="81" t="s">
        <v>181</v>
      </c>
      <c r="G89" s="89">
        <v>7</v>
      </c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</row>
    <row r="90" spans="1:52" ht="15" customHeight="1" x14ac:dyDescent="0.2">
      <c r="A90" s="81" t="s">
        <v>126</v>
      </c>
      <c r="B90" s="81">
        <v>2026</v>
      </c>
      <c r="C90" s="81">
        <v>5</v>
      </c>
      <c r="D90" s="81" t="s">
        <v>57</v>
      </c>
      <c r="E90" s="81" t="s">
        <v>182</v>
      </c>
      <c r="F90" s="81" t="s">
        <v>181</v>
      </c>
      <c r="G90" s="89">
        <v>5</v>
      </c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</row>
    <row r="91" spans="1:52" ht="15" customHeight="1" x14ac:dyDescent="0.2">
      <c r="A91" s="81" t="s">
        <v>126</v>
      </c>
      <c r="B91" s="81">
        <v>2026</v>
      </c>
      <c r="C91" s="81">
        <v>6</v>
      </c>
      <c r="D91" s="81" t="s">
        <v>58</v>
      </c>
      <c r="E91" s="81" t="s">
        <v>182</v>
      </c>
      <c r="F91" s="81" t="s">
        <v>181</v>
      </c>
      <c r="G91" s="89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</row>
    <row r="92" spans="1:52" ht="15" customHeight="1" x14ac:dyDescent="0.2">
      <c r="A92" s="81" t="s">
        <v>126</v>
      </c>
      <c r="B92" s="81">
        <v>2026</v>
      </c>
      <c r="C92" s="81">
        <v>7</v>
      </c>
      <c r="D92" s="81" t="s">
        <v>59</v>
      </c>
      <c r="E92" s="81" t="s">
        <v>182</v>
      </c>
      <c r="F92" s="81" t="s">
        <v>181</v>
      </c>
      <c r="G92" s="89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</row>
    <row r="93" spans="1:52" ht="15" customHeight="1" x14ac:dyDescent="0.2">
      <c r="A93" s="81" t="s">
        <v>126</v>
      </c>
      <c r="B93" s="81">
        <v>2026</v>
      </c>
      <c r="C93" s="81">
        <v>8</v>
      </c>
      <c r="D93" s="81" t="s">
        <v>60</v>
      </c>
      <c r="E93" s="81" t="s">
        <v>182</v>
      </c>
      <c r="F93" s="81" t="s">
        <v>181</v>
      </c>
      <c r="G93" s="89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</row>
    <row r="94" spans="1:52" ht="15" customHeight="1" x14ac:dyDescent="0.2">
      <c r="A94" s="81" t="s">
        <v>126</v>
      </c>
      <c r="B94" s="81">
        <v>2026</v>
      </c>
      <c r="C94" s="81">
        <v>9</v>
      </c>
      <c r="D94" s="81" t="s">
        <v>61</v>
      </c>
      <c r="E94" s="81" t="s">
        <v>182</v>
      </c>
      <c r="F94" s="81" t="s">
        <v>181</v>
      </c>
      <c r="G94" s="89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</row>
    <row r="95" spans="1:52" ht="15" customHeight="1" x14ac:dyDescent="0.2">
      <c r="A95" s="81" t="s">
        <v>126</v>
      </c>
      <c r="B95" s="81">
        <v>2026</v>
      </c>
      <c r="C95" s="81">
        <v>10</v>
      </c>
      <c r="D95" s="81" t="s">
        <v>62</v>
      </c>
      <c r="E95" s="81" t="s">
        <v>182</v>
      </c>
      <c r="F95" s="81" t="s">
        <v>181</v>
      </c>
      <c r="G95" s="89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</row>
    <row r="96" spans="1:52" ht="15" customHeight="1" x14ac:dyDescent="0.2">
      <c r="A96" s="81" t="s">
        <v>126</v>
      </c>
      <c r="B96" s="81">
        <v>2026</v>
      </c>
      <c r="C96" s="81">
        <v>11</v>
      </c>
      <c r="D96" s="81" t="s">
        <v>63</v>
      </c>
      <c r="E96" s="81" t="s">
        <v>182</v>
      </c>
      <c r="F96" s="81" t="s">
        <v>181</v>
      </c>
      <c r="G96" s="89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</row>
    <row r="97" spans="1:52" ht="15" customHeight="1" x14ac:dyDescent="0.2">
      <c r="A97" s="81" t="s">
        <v>126</v>
      </c>
      <c r="B97" s="81">
        <v>2026</v>
      </c>
      <c r="C97" s="81">
        <v>12</v>
      </c>
      <c r="D97" s="81" t="s">
        <v>64</v>
      </c>
      <c r="E97" s="81" t="s">
        <v>182</v>
      </c>
      <c r="F97" s="81" t="s">
        <v>181</v>
      </c>
      <c r="G97" s="89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</row>
    <row r="98" spans="1:52" ht="15" customHeight="1" x14ac:dyDescent="0.2">
      <c r="A98" s="81"/>
      <c r="B98" s="81"/>
      <c r="C98" s="81"/>
      <c r="D98" s="81"/>
      <c r="E98" s="81"/>
      <c r="F98" s="81"/>
      <c r="G98" s="89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</row>
    <row r="99" spans="1:52" ht="15" customHeight="1" x14ac:dyDescent="0.2">
      <c r="A99" s="81"/>
      <c r="B99" s="81"/>
      <c r="C99" s="81"/>
      <c r="D99" s="81"/>
      <c r="E99" s="81"/>
      <c r="F99" s="81"/>
      <c r="G99" s="89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</row>
    <row r="100" spans="1:52" ht="15" customHeight="1" x14ac:dyDescent="0.2">
      <c r="A100" s="81"/>
      <c r="B100" s="81"/>
      <c r="C100" s="81"/>
      <c r="D100" s="81"/>
      <c r="E100" s="81"/>
      <c r="F100" s="81"/>
      <c r="G100" s="89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</row>
    <row r="101" spans="1:52" ht="15" customHeight="1" x14ac:dyDescent="0.2">
      <c r="A101" s="81"/>
      <c r="B101" s="81"/>
      <c r="C101" s="81"/>
      <c r="D101" s="81"/>
      <c r="E101" s="81"/>
      <c r="F101" s="81"/>
      <c r="G101" s="89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</row>
    <row r="102" spans="1:52" ht="15" customHeight="1" x14ac:dyDescent="0.2">
      <c r="A102" s="81"/>
      <c r="B102" s="81"/>
      <c r="C102" s="81"/>
      <c r="D102" s="81"/>
      <c r="E102" s="81"/>
      <c r="F102" s="81"/>
      <c r="G102" s="89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</row>
    <row r="103" spans="1:52" ht="15" customHeight="1" x14ac:dyDescent="0.2">
      <c r="A103" s="81"/>
      <c r="B103" s="81"/>
      <c r="C103" s="81"/>
      <c r="D103" s="81"/>
      <c r="E103" s="81"/>
      <c r="F103" s="81"/>
      <c r="G103" s="89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</row>
    <row r="104" spans="1:52" ht="15" customHeight="1" x14ac:dyDescent="0.2">
      <c r="A104" s="81"/>
      <c r="B104" s="81"/>
      <c r="C104" s="81"/>
      <c r="D104" s="81"/>
      <c r="E104" s="81"/>
      <c r="F104" s="81"/>
      <c r="G104" s="89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</row>
    <row r="105" spans="1:52" ht="15" customHeight="1" x14ac:dyDescent="0.2">
      <c r="A105" s="81"/>
      <c r="B105" s="81"/>
      <c r="C105" s="81"/>
      <c r="D105" s="81"/>
      <c r="E105" s="81"/>
      <c r="F105" s="81"/>
      <c r="G105" s="89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</row>
    <row r="106" spans="1:52" ht="15" customHeight="1" x14ac:dyDescent="0.2">
      <c r="A106" s="81"/>
      <c r="B106" s="81"/>
      <c r="C106" s="81"/>
      <c r="D106" s="81"/>
      <c r="E106" s="81"/>
      <c r="F106" s="81"/>
      <c r="G106" s="89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</row>
    <row r="107" spans="1:52" ht="15" customHeight="1" x14ac:dyDescent="0.2">
      <c r="A107" s="81"/>
      <c r="B107" s="81"/>
      <c r="C107" s="81"/>
      <c r="D107" s="81"/>
      <c r="E107" s="81"/>
      <c r="F107" s="81"/>
      <c r="G107" s="89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</row>
    <row r="108" spans="1:52" ht="15" customHeight="1" x14ac:dyDescent="0.2">
      <c r="A108" s="81"/>
      <c r="B108" s="81"/>
      <c r="C108" s="81"/>
      <c r="D108" s="81"/>
      <c r="E108" s="81"/>
      <c r="F108" s="81"/>
      <c r="G108" s="89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</row>
    <row r="109" spans="1:52" ht="15" customHeight="1" x14ac:dyDescent="0.2">
      <c r="A109" s="81"/>
      <c r="B109" s="81"/>
      <c r="C109" s="81"/>
      <c r="D109" s="81"/>
      <c r="E109" s="81"/>
      <c r="F109" s="81"/>
      <c r="G109" s="89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</row>
    <row r="110" spans="1:52" ht="15" customHeight="1" x14ac:dyDescent="0.2">
      <c r="A110" s="81"/>
      <c r="B110" s="81"/>
      <c r="C110" s="81"/>
      <c r="D110" s="81"/>
      <c r="E110" s="81"/>
      <c r="F110" s="81"/>
      <c r="G110" s="89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</row>
    <row r="111" spans="1:52" ht="15" customHeight="1" x14ac:dyDescent="0.2">
      <c r="A111" s="81"/>
      <c r="B111" s="81"/>
      <c r="C111" s="81"/>
      <c r="D111" s="81"/>
      <c r="E111" s="81"/>
      <c r="F111" s="81"/>
      <c r="G111" s="89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</row>
    <row r="112" spans="1:52" ht="15" customHeight="1" x14ac:dyDescent="0.2">
      <c r="A112" s="81"/>
      <c r="B112" s="81"/>
      <c r="C112" s="81"/>
      <c r="D112" s="81"/>
      <c r="E112" s="81"/>
      <c r="F112" s="81"/>
      <c r="G112" s="89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</row>
    <row r="113" spans="1:52" ht="15" customHeight="1" x14ac:dyDescent="0.2">
      <c r="A113" s="81"/>
      <c r="B113" s="81"/>
      <c r="C113" s="81"/>
      <c r="D113" s="81"/>
      <c r="E113" s="81"/>
      <c r="F113" s="81"/>
      <c r="G113" s="89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</row>
    <row r="114" spans="1:52" ht="15" customHeight="1" x14ac:dyDescent="0.2">
      <c r="A114" s="81"/>
      <c r="B114" s="81"/>
      <c r="C114" s="81"/>
      <c r="D114" s="81"/>
      <c r="E114" s="81"/>
      <c r="F114" s="81"/>
      <c r="G114" s="89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</row>
    <row r="115" spans="1:52" ht="15" customHeight="1" x14ac:dyDescent="0.2">
      <c r="A115" s="81"/>
      <c r="B115" s="81"/>
      <c r="C115" s="81"/>
      <c r="D115" s="81"/>
      <c r="E115" s="81"/>
      <c r="F115" s="81"/>
      <c r="G115" s="89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</row>
    <row r="116" spans="1:52" ht="15" customHeight="1" x14ac:dyDescent="0.2">
      <c r="A116" s="81"/>
      <c r="B116" s="81"/>
      <c r="C116" s="81"/>
      <c r="D116" s="81"/>
      <c r="E116" s="81"/>
      <c r="F116" s="81"/>
      <c r="G116" s="89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</row>
    <row r="117" spans="1:52" ht="15" customHeight="1" x14ac:dyDescent="0.2">
      <c r="A117" s="81"/>
      <c r="B117" s="81"/>
      <c r="C117" s="81"/>
      <c r="D117" s="81"/>
      <c r="E117" s="81"/>
      <c r="F117" s="81"/>
      <c r="G117" s="89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</row>
    <row r="118" spans="1:52" ht="15" customHeight="1" x14ac:dyDescent="0.2">
      <c r="A118" s="81"/>
      <c r="B118" s="81"/>
      <c r="C118" s="81"/>
      <c r="D118" s="81"/>
      <c r="E118" s="81"/>
      <c r="F118" s="81"/>
      <c r="G118" s="89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</row>
    <row r="119" spans="1:52" ht="15" customHeight="1" x14ac:dyDescent="0.2">
      <c r="A119" s="81"/>
      <c r="B119" s="81"/>
      <c r="C119" s="81"/>
      <c r="D119" s="81"/>
      <c r="E119" s="81"/>
      <c r="F119" s="81"/>
      <c r="G119" s="89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</row>
    <row r="120" spans="1:52" ht="15" customHeight="1" x14ac:dyDescent="0.2">
      <c r="A120" s="81"/>
      <c r="B120" s="81"/>
      <c r="C120" s="81"/>
      <c r="D120" s="81"/>
      <c r="E120" s="81"/>
      <c r="F120" s="81"/>
      <c r="G120" s="89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</row>
    <row r="121" spans="1:52" ht="15" customHeight="1" x14ac:dyDescent="0.2">
      <c r="A121" s="81"/>
      <c r="B121" s="81"/>
      <c r="C121" s="81"/>
      <c r="D121" s="81"/>
      <c r="E121" s="81"/>
      <c r="F121" s="81"/>
      <c r="G121" s="89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</row>
    <row r="122" spans="1:52" ht="15" customHeight="1" x14ac:dyDescent="0.2">
      <c r="A122" s="81"/>
      <c r="B122" s="81"/>
      <c r="C122" s="81"/>
      <c r="D122" s="81"/>
      <c r="E122" s="81"/>
      <c r="F122" s="81"/>
      <c r="G122" s="89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</row>
    <row r="123" spans="1:52" ht="15" customHeight="1" x14ac:dyDescent="0.2">
      <c r="A123" s="81"/>
      <c r="B123" s="81"/>
      <c r="C123" s="81"/>
      <c r="D123" s="81"/>
      <c r="E123" s="81"/>
      <c r="F123" s="81"/>
      <c r="G123" s="89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</row>
    <row r="124" spans="1:52" ht="15" customHeight="1" x14ac:dyDescent="0.2">
      <c r="A124" s="81"/>
      <c r="B124" s="81"/>
      <c r="C124" s="81"/>
      <c r="D124" s="81"/>
      <c r="E124" s="81"/>
      <c r="F124" s="81"/>
      <c r="G124" s="89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</row>
    <row r="125" spans="1:52" ht="15" customHeight="1" x14ac:dyDescent="0.2">
      <c r="A125" s="81"/>
      <c r="B125" s="81"/>
      <c r="C125" s="81"/>
      <c r="D125" s="81"/>
      <c r="E125" s="81"/>
      <c r="F125" s="81"/>
      <c r="G125" s="89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</row>
    <row r="126" spans="1:52" ht="15" customHeight="1" x14ac:dyDescent="0.2">
      <c r="A126" s="81"/>
      <c r="B126" s="81"/>
      <c r="C126" s="81"/>
      <c r="D126" s="81"/>
      <c r="E126" s="81"/>
      <c r="F126" s="81"/>
      <c r="G126" s="89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</row>
    <row r="127" spans="1:52" ht="15" customHeight="1" x14ac:dyDescent="0.2">
      <c r="A127" s="81"/>
      <c r="B127" s="81"/>
      <c r="C127" s="81"/>
      <c r="D127" s="81"/>
      <c r="E127" s="81"/>
      <c r="F127" s="81"/>
      <c r="G127" s="89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</row>
    <row r="128" spans="1:52" ht="15" customHeight="1" x14ac:dyDescent="0.2">
      <c r="A128" s="81"/>
      <c r="B128" s="81"/>
      <c r="C128" s="81"/>
      <c r="D128" s="81"/>
      <c r="E128" s="81"/>
      <c r="F128" s="81"/>
      <c r="G128" s="89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</row>
    <row r="129" spans="1:52" ht="15" customHeight="1" x14ac:dyDescent="0.2">
      <c r="A129" s="81"/>
      <c r="B129" s="81"/>
      <c r="C129" s="81"/>
      <c r="D129" s="81"/>
      <c r="E129" s="81"/>
      <c r="F129" s="81"/>
      <c r="G129" s="89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</row>
    <row r="130" spans="1:52" ht="15" customHeight="1" x14ac:dyDescent="0.2">
      <c r="A130" s="81"/>
      <c r="B130" s="81"/>
      <c r="C130" s="81"/>
      <c r="D130" s="81"/>
      <c r="E130" s="81"/>
      <c r="F130" s="81"/>
      <c r="G130" s="89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</row>
    <row r="131" spans="1:52" ht="15" customHeight="1" x14ac:dyDescent="0.2">
      <c r="A131" s="81"/>
      <c r="B131" s="81"/>
      <c r="C131" s="81"/>
      <c r="D131" s="81"/>
      <c r="E131" s="81"/>
      <c r="F131" s="81"/>
      <c r="G131" s="89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</row>
    <row r="132" spans="1:52" ht="15" customHeight="1" x14ac:dyDescent="0.2">
      <c r="A132" s="81"/>
      <c r="B132" s="81"/>
      <c r="C132" s="81"/>
      <c r="D132" s="81"/>
      <c r="E132" s="81"/>
      <c r="F132" s="81"/>
      <c r="G132" s="89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</row>
    <row r="133" spans="1:52" ht="15" customHeight="1" x14ac:dyDescent="0.2">
      <c r="A133" s="81"/>
      <c r="B133" s="81"/>
      <c r="C133" s="81"/>
      <c r="D133" s="81"/>
      <c r="E133" s="81"/>
      <c r="F133" s="81"/>
      <c r="G133" s="89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</row>
    <row r="134" spans="1:52" ht="15" customHeight="1" x14ac:dyDescent="0.2">
      <c r="A134" s="81"/>
      <c r="B134" s="81"/>
      <c r="C134" s="81"/>
      <c r="D134" s="81"/>
      <c r="E134" s="81"/>
      <c r="F134" s="81"/>
      <c r="G134" s="89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</row>
    <row r="135" spans="1:52" ht="15" customHeight="1" x14ac:dyDescent="0.2">
      <c r="A135" s="81"/>
      <c r="B135" s="81"/>
      <c r="C135" s="81"/>
      <c r="D135" s="81"/>
      <c r="E135" s="81"/>
      <c r="F135" s="81"/>
      <c r="G135" s="89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</row>
    <row r="136" spans="1:52" ht="15" customHeight="1" x14ac:dyDescent="0.2">
      <c r="A136" s="81"/>
      <c r="B136" s="81"/>
      <c r="C136" s="81"/>
      <c r="D136" s="81"/>
      <c r="E136" s="81"/>
      <c r="F136" s="81"/>
      <c r="G136" s="89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</row>
    <row r="137" spans="1:52" ht="15" customHeight="1" x14ac:dyDescent="0.2">
      <c r="A137" s="81"/>
      <c r="B137" s="81"/>
      <c r="C137" s="81"/>
      <c r="D137" s="81"/>
      <c r="E137" s="81"/>
      <c r="F137" s="81"/>
      <c r="G137" s="89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</row>
    <row r="138" spans="1:52" ht="15" customHeight="1" x14ac:dyDescent="0.2">
      <c r="A138" s="81"/>
      <c r="B138" s="81"/>
      <c r="C138" s="81"/>
      <c r="D138" s="81"/>
      <c r="E138" s="81"/>
      <c r="F138" s="81"/>
      <c r="G138" s="89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</row>
    <row r="139" spans="1:52" ht="15" customHeight="1" x14ac:dyDescent="0.2">
      <c r="A139" s="81"/>
      <c r="B139" s="81"/>
      <c r="C139" s="81"/>
      <c r="D139" s="81"/>
      <c r="E139" s="81"/>
      <c r="F139" s="81"/>
      <c r="G139" s="89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</row>
    <row r="140" spans="1:52" ht="15" customHeight="1" x14ac:dyDescent="0.2">
      <c r="A140" s="81"/>
      <c r="B140" s="81"/>
      <c r="C140" s="81"/>
      <c r="D140" s="81"/>
      <c r="E140" s="81"/>
      <c r="F140" s="81"/>
      <c r="G140" s="89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</row>
    <row r="141" spans="1:52" ht="15" customHeight="1" x14ac:dyDescent="0.2">
      <c r="A141" s="81"/>
      <c r="B141" s="81"/>
      <c r="C141" s="81"/>
      <c r="D141" s="81"/>
      <c r="E141" s="81"/>
      <c r="F141" s="81"/>
      <c r="G141" s="89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</row>
    <row r="142" spans="1:52" ht="15" customHeight="1" x14ac:dyDescent="0.2">
      <c r="A142" s="81"/>
      <c r="B142" s="81"/>
      <c r="C142" s="81"/>
      <c r="D142" s="81"/>
      <c r="E142" s="81"/>
      <c r="F142" s="81"/>
      <c r="G142" s="89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</row>
    <row r="143" spans="1:52" ht="15" customHeight="1" x14ac:dyDescent="0.2">
      <c r="A143" s="81"/>
      <c r="B143" s="81"/>
      <c r="C143" s="81"/>
      <c r="D143" s="81"/>
      <c r="E143" s="81"/>
      <c r="F143" s="81"/>
      <c r="G143" s="89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</row>
    <row r="144" spans="1:52" ht="15" customHeight="1" x14ac:dyDescent="0.2">
      <c r="A144" s="81"/>
      <c r="B144" s="81"/>
      <c r="C144" s="81"/>
      <c r="D144" s="81"/>
      <c r="E144" s="81"/>
      <c r="F144" s="81"/>
      <c r="G144" s="89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</row>
    <row r="145" spans="1:52" ht="15" customHeight="1" x14ac:dyDescent="0.2">
      <c r="A145" s="81"/>
      <c r="B145" s="81"/>
      <c r="C145" s="81"/>
      <c r="D145" s="81"/>
      <c r="E145" s="81"/>
      <c r="F145" s="81"/>
      <c r="G145" s="89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</row>
    <row r="146" spans="1:52" ht="15" customHeight="1" x14ac:dyDescent="0.2">
      <c r="A146" s="81"/>
      <c r="B146" s="81"/>
      <c r="C146" s="81"/>
      <c r="D146" s="81"/>
      <c r="E146" s="81"/>
      <c r="F146" s="81"/>
      <c r="G146" s="89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</row>
    <row r="147" spans="1:52" ht="15" customHeight="1" x14ac:dyDescent="0.2">
      <c r="A147" s="81"/>
      <c r="B147" s="81"/>
      <c r="C147" s="81"/>
      <c r="D147" s="81"/>
      <c r="E147" s="81"/>
      <c r="F147" s="81"/>
      <c r="G147" s="89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</row>
    <row r="148" spans="1:52" ht="15" customHeight="1" x14ac:dyDescent="0.2">
      <c r="A148" s="81"/>
      <c r="B148" s="81"/>
      <c r="C148" s="81"/>
      <c r="D148" s="81"/>
      <c r="E148" s="81"/>
      <c r="F148" s="81"/>
      <c r="G148" s="89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</row>
    <row r="149" spans="1:52" ht="15" customHeight="1" x14ac:dyDescent="0.2">
      <c r="A149" s="81"/>
      <c r="B149" s="81"/>
      <c r="C149" s="81"/>
      <c r="D149" s="81"/>
      <c r="E149" s="81"/>
      <c r="F149" s="81"/>
      <c r="G149" s="89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</row>
    <row r="150" spans="1:52" ht="15" customHeight="1" x14ac:dyDescent="0.2">
      <c r="A150" s="81"/>
      <c r="B150" s="81"/>
      <c r="C150" s="81"/>
      <c r="D150" s="81"/>
      <c r="E150" s="81"/>
      <c r="F150" s="81"/>
      <c r="G150" s="89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</row>
    <row r="151" spans="1:52" ht="15" customHeight="1" x14ac:dyDescent="0.2">
      <c r="A151" s="81"/>
      <c r="B151" s="81"/>
      <c r="C151" s="81"/>
      <c r="D151" s="81"/>
      <c r="E151" s="81"/>
      <c r="F151" s="81"/>
      <c r="G151" s="89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</row>
    <row r="152" spans="1:52" ht="15" customHeight="1" x14ac:dyDescent="0.2">
      <c r="A152" s="81"/>
      <c r="B152" s="81"/>
      <c r="C152" s="81"/>
      <c r="D152" s="81"/>
      <c r="E152" s="81"/>
      <c r="F152" s="81"/>
      <c r="G152" s="89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</row>
    <row r="153" spans="1:52" ht="15" customHeight="1" x14ac:dyDescent="0.2">
      <c r="A153" s="81"/>
      <c r="B153" s="81"/>
      <c r="C153" s="81"/>
      <c r="D153" s="81"/>
      <c r="E153" s="81"/>
      <c r="F153" s="81"/>
      <c r="G153" s="89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</row>
    <row r="154" spans="1:52" ht="15" customHeight="1" x14ac:dyDescent="0.2">
      <c r="A154" s="81"/>
      <c r="B154" s="81"/>
      <c r="C154" s="81"/>
      <c r="D154" s="81"/>
      <c r="E154" s="81"/>
      <c r="F154" s="81"/>
      <c r="G154" s="89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</row>
    <row r="155" spans="1:52" ht="15" customHeight="1" x14ac:dyDescent="0.2">
      <c r="A155" s="81"/>
      <c r="B155" s="81"/>
      <c r="C155" s="81"/>
      <c r="D155" s="81"/>
      <c r="E155" s="81"/>
      <c r="F155" s="81"/>
      <c r="G155" s="89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</row>
    <row r="156" spans="1:52" ht="15" customHeight="1" x14ac:dyDescent="0.2">
      <c r="A156" s="81"/>
      <c r="B156" s="81"/>
      <c r="C156" s="81"/>
      <c r="D156" s="81"/>
      <c r="E156" s="81"/>
      <c r="F156" s="81"/>
      <c r="G156" s="89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</row>
    <row r="157" spans="1:52" ht="15" customHeight="1" x14ac:dyDescent="0.2">
      <c r="A157" s="81"/>
      <c r="B157" s="81"/>
      <c r="C157" s="81"/>
      <c r="D157" s="81"/>
      <c r="E157" s="81"/>
      <c r="F157" s="81"/>
      <c r="G157" s="89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</row>
    <row r="158" spans="1:52" ht="15" customHeight="1" x14ac:dyDescent="0.2">
      <c r="A158" s="81"/>
      <c r="B158" s="81"/>
      <c r="C158" s="81"/>
      <c r="D158" s="81"/>
      <c r="E158" s="81"/>
      <c r="F158" s="81"/>
      <c r="G158" s="89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</row>
    <row r="159" spans="1:52" ht="15" customHeight="1" x14ac:dyDescent="0.2">
      <c r="A159" s="81"/>
      <c r="B159" s="81"/>
      <c r="C159" s="81"/>
      <c r="D159" s="81"/>
      <c r="E159" s="81"/>
      <c r="F159" s="81"/>
      <c r="G159" s="89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</row>
    <row r="160" spans="1:52" ht="15" customHeight="1" x14ac:dyDescent="0.2">
      <c r="A160" s="81"/>
      <c r="B160" s="81"/>
      <c r="C160" s="81"/>
      <c r="D160" s="81"/>
      <c r="E160" s="81"/>
      <c r="F160" s="81"/>
      <c r="G160" s="89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</row>
    <row r="161" spans="1:52" ht="15" customHeight="1" x14ac:dyDescent="0.2">
      <c r="A161" s="81"/>
      <c r="B161" s="81"/>
      <c r="C161" s="81"/>
      <c r="D161" s="81"/>
      <c r="E161" s="81"/>
      <c r="F161" s="81"/>
      <c r="G161" s="89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</row>
    <row r="162" spans="1:52" ht="15" customHeight="1" x14ac:dyDescent="0.2">
      <c r="A162" s="81"/>
      <c r="B162" s="81"/>
      <c r="C162" s="81"/>
      <c r="D162" s="81"/>
      <c r="E162" s="81"/>
      <c r="F162" s="81"/>
      <c r="G162" s="89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</row>
    <row r="163" spans="1:52" ht="15" customHeight="1" x14ac:dyDescent="0.2">
      <c r="A163" s="81"/>
      <c r="B163" s="81"/>
      <c r="C163" s="81"/>
      <c r="D163" s="81"/>
      <c r="E163" s="81"/>
      <c r="F163" s="81"/>
      <c r="G163" s="89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</row>
    <row r="164" spans="1:52" ht="15" customHeight="1" x14ac:dyDescent="0.2">
      <c r="A164" s="81"/>
      <c r="B164" s="81"/>
      <c r="C164" s="81"/>
      <c r="D164" s="81"/>
      <c r="E164" s="81"/>
      <c r="F164" s="81"/>
      <c r="G164" s="89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</row>
    <row r="165" spans="1:52" ht="15" customHeight="1" x14ac:dyDescent="0.2">
      <c r="A165" s="81"/>
      <c r="B165" s="81"/>
      <c r="C165" s="81"/>
      <c r="D165" s="81"/>
      <c r="E165" s="81"/>
      <c r="F165" s="81"/>
      <c r="G165" s="89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</row>
    <row r="166" spans="1:52" ht="15" customHeight="1" x14ac:dyDescent="0.2">
      <c r="A166" s="81"/>
      <c r="B166" s="81"/>
      <c r="C166" s="81"/>
      <c r="D166" s="81"/>
      <c r="E166" s="81"/>
      <c r="F166" s="81"/>
      <c r="G166" s="89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</row>
    <row r="167" spans="1:52" ht="15" customHeight="1" x14ac:dyDescent="0.2">
      <c r="A167" s="81"/>
      <c r="B167" s="81"/>
      <c r="C167" s="81"/>
      <c r="D167" s="81"/>
      <c r="E167" s="81"/>
      <c r="F167" s="81"/>
      <c r="G167" s="89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</row>
    <row r="168" spans="1:52" ht="15" customHeight="1" x14ac:dyDescent="0.2">
      <c r="A168" s="81"/>
      <c r="B168" s="81"/>
      <c r="C168" s="81"/>
      <c r="D168" s="81"/>
      <c r="E168" s="81"/>
      <c r="F168" s="81"/>
      <c r="G168" s="89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</row>
    <row r="169" spans="1:52" ht="15" customHeight="1" x14ac:dyDescent="0.2">
      <c r="A169" s="81"/>
      <c r="B169" s="81"/>
      <c r="C169" s="81"/>
      <c r="D169" s="81"/>
      <c r="E169" s="81"/>
      <c r="F169" s="81"/>
      <c r="G169" s="89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</row>
    <row r="170" spans="1:52" ht="15" customHeight="1" x14ac:dyDescent="0.2">
      <c r="A170" s="81"/>
      <c r="B170" s="81"/>
      <c r="C170" s="81"/>
      <c r="D170" s="81"/>
      <c r="E170" s="81"/>
      <c r="F170" s="81"/>
      <c r="G170" s="89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</row>
    <row r="171" spans="1:52" ht="15" customHeight="1" x14ac:dyDescent="0.2">
      <c r="A171" s="81"/>
      <c r="B171" s="81"/>
      <c r="C171" s="81"/>
      <c r="D171" s="81"/>
      <c r="E171" s="81"/>
      <c r="F171" s="81"/>
      <c r="G171" s="89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</row>
    <row r="172" spans="1:52" ht="15" customHeight="1" x14ac:dyDescent="0.2">
      <c r="A172" s="81"/>
      <c r="B172" s="81"/>
      <c r="C172" s="81"/>
      <c r="D172" s="81"/>
      <c r="E172" s="81"/>
      <c r="F172" s="81"/>
      <c r="G172" s="89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</row>
    <row r="173" spans="1:52" ht="15" customHeight="1" x14ac:dyDescent="0.2">
      <c r="A173" s="81"/>
      <c r="B173" s="81"/>
      <c r="C173" s="81"/>
      <c r="D173" s="81"/>
      <c r="E173" s="81"/>
      <c r="F173" s="81"/>
      <c r="G173" s="89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</row>
    <row r="174" spans="1:52" ht="15" customHeight="1" x14ac:dyDescent="0.2">
      <c r="A174" s="81"/>
      <c r="B174" s="81"/>
      <c r="C174" s="81"/>
      <c r="D174" s="81"/>
      <c r="E174" s="81"/>
      <c r="F174" s="81"/>
      <c r="G174" s="89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</row>
    <row r="175" spans="1:52" ht="15" customHeight="1" x14ac:dyDescent="0.2">
      <c r="A175" s="81"/>
      <c r="B175" s="81"/>
      <c r="C175" s="81"/>
      <c r="D175" s="81"/>
      <c r="E175" s="81"/>
      <c r="F175" s="81"/>
      <c r="G175" s="89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</row>
    <row r="176" spans="1:52" ht="15" customHeight="1" x14ac:dyDescent="0.2">
      <c r="A176" s="81"/>
      <c r="B176" s="81"/>
      <c r="C176" s="81"/>
      <c r="D176" s="81"/>
      <c r="E176" s="81"/>
      <c r="F176" s="81"/>
      <c r="G176" s="89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</row>
    <row r="177" spans="1:52" ht="15" customHeight="1" x14ac:dyDescent="0.2">
      <c r="A177" s="81"/>
      <c r="B177" s="81"/>
      <c r="C177" s="81"/>
      <c r="D177" s="81"/>
      <c r="E177" s="81"/>
      <c r="F177" s="81"/>
      <c r="G177" s="89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</row>
    <row r="178" spans="1:52" ht="15" customHeight="1" x14ac:dyDescent="0.2">
      <c r="A178" s="81"/>
      <c r="B178" s="81"/>
      <c r="C178" s="81"/>
      <c r="D178" s="81"/>
      <c r="E178" s="81"/>
      <c r="F178" s="81"/>
      <c r="G178" s="89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</row>
    <row r="179" spans="1:52" ht="15" customHeight="1" x14ac:dyDescent="0.2">
      <c r="A179" s="81"/>
      <c r="B179" s="81"/>
      <c r="C179" s="81"/>
      <c r="D179" s="81"/>
      <c r="E179" s="81"/>
      <c r="F179" s="81"/>
      <c r="G179" s="89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</row>
    <row r="180" spans="1:52" ht="15" customHeight="1" x14ac:dyDescent="0.2">
      <c r="A180" s="81"/>
      <c r="B180" s="81"/>
      <c r="C180" s="81"/>
      <c r="D180" s="81"/>
      <c r="E180" s="81"/>
      <c r="F180" s="81"/>
      <c r="G180" s="89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</row>
    <row r="181" spans="1:52" ht="15" customHeight="1" x14ac:dyDescent="0.2">
      <c r="A181" s="81"/>
      <c r="B181" s="81"/>
      <c r="C181" s="81"/>
      <c r="D181" s="81"/>
      <c r="E181" s="81"/>
      <c r="F181" s="81"/>
      <c r="G181" s="89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</row>
    <row r="182" spans="1:52" ht="15" customHeight="1" x14ac:dyDescent="0.2">
      <c r="A182" s="81"/>
      <c r="B182" s="81"/>
      <c r="C182" s="81"/>
      <c r="D182" s="81"/>
      <c r="E182" s="81"/>
      <c r="F182" s="81"/>
      <c r="G182" s="89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</row>
    <row r="183" spans="1:52" ht="15" customHeight="1" x14ac:dyDescent="0.2">
      <c r="A183" s="81"/>
      <c r="B183" s="81"/>
      <c r="C183" s="81"/>
      <c r="D183" s="81"/>
      <c r="E183" s="81"/>
      <c r="F183" s="81"/>
      <c r="G183" s="89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</row>
    <row r="184" spans="1:52" ht="15" customHeight="1" x14ac:dyDescent="0.2">
      <c r="A184" s="81"/>
      <c r="B184" s="81"/>
      <c r="C184" s="81"/>
      <c r="D184" s="81"/>
      <c r="E184" s="81"/>
      <c r="F184" s="81"/>
      <c r="G184" s="89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</row>
    <row r="185" spans="1:52" ht="15" customHeight="1" x14ac:dyDescent="0.2">
      <c r="A185" s="81"/>
      <c r="B185" s="81"/>
      <c r="C185" s="81"/>
      <c r="D185" s="81"/>
      <c r="E185" s="81"/>
      <c r="F185" s="81"/>
      <c r="G185" s="89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</row>
    <row r="186" spans="1:52" ht="15" customHeight="1" x14ac:dyDescent="0.2">
      <c r="A186" s="81"/>
      <c r="B186" s="81"/>
      <c r="C186" s="81"/>
      <c r="D186" s="81"/>
      <c r="E186" s="81"/>
      <c r="F186" s="81"/>
      <c r="G186" s="89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</row>
    <row r="187" spans="1:52" ht="15" customHeight="1" x14ac:dyDescent="0.2">
      <c r="A187" s="81"/>
      <c r="B187" s="81"/>
      <c r="C187" s="81"/>
      <c r="D187" s="81"/>
      <c r="E187" s="81"/>
      <c r="F187" s="81"/>
      <c r="G187" s="89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</row>
    <row r="188" spans="1:52" ht="15" customHeight="1" x14ac:dyDescent="0.2">
      <c r="A188" s="81"/>
      <c r="B188" s="81"/>
      <c r="C188" s="81"/>
      <c r="D188" s="81"/>
      <c r="E188" s="81"/>
      <c r="F188" s="81"/>
      <c r="G188" s="89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</row>
    <row r="189" spans="1:52" ht="15" customHeight="1" x14ac:dyDescent="0.2">
      <c r="A189" s="81"/>
      <c r="B189" s="81"/>
      <c r="C189" s="81"/>
      <c r="D189" s="81"/>
      <c r="E189" s="81"/>
      <c r="F189" s="81"/>
      <c r="G189" s="89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</row>
    <row r="190" spans="1:52" ht="15" customHeight="1" x14ac:dyDescent="0.2">
      <c r="A190" s="81"/>
      <c r="B190" s="81"/>
      <c r="C190" s="81"/>
      <c r="D190" s="81"/>
      <c r="E190" s="81"/>
      <c r="F190" s="81"/>
      <c r="G190" s="89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</row>
    <row r="191" spans="1:52" ht="15" customHeight="1" x14ac:dyDescent="0.2">
      <c r="A191" s="81"/>
      <c r="B191" s="81"/>
      <c r="C191" s="81"/>
      <c r="D191" s="81"/>
      <c r="E191" s="81"/>
      <c r="F191" s="81"/>
      <c r="G191" s="89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</row>
    <row r="192" spans="1:52" ht="15" customHeight="1" x14ac:dyDescent="0.2">
      <c r="A192" s="81"/>
      <c r="B192" s="81"/>
      <c r="C192" s="81"/>
      <c r="D192" s="81"/>
      <c r="E192" s="81"/>
      <c r="F192" s="81"/>
      <c r="G192" s="89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</row>
    <row r="193" spans="1:52" ht="15" customHeight="1" x14ac:dyDescent="0.2">
      <c r="A193" s="81"/>
      <c r="B193" s="81"/>
      <c r="C193" s="81"/>
      <c r="D193" s="81"/>
      <c r="E193" s="81"/>
      <c r="F193" s="81"/>
      <c r="G193" s="89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</row>
    <row r="194" spans="1:52" ht="15" customHeight="1" x14ac:dyDescent="0.2">
      <c r="A194" s="81"/>
      <c r="B194" s="81"/>
      <c r="C194" s="81"/>
      <c r="D194" s="81"/>
      <c r="E194" s="81"/>
      <c r="F194" s="81"/>
      <c r="G194" s="89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</row>
    <row r="195" spans="1:52" ht="15" customHeight="1" x14ac:dyDescent="0.2">
      <c r="A195" s="81"/>
      <c r="B195" s="81"/>
      <c r="C195" s="81"/>
      <c r="D195" s="81"/>
      <c r="E195" s="81"/>
      <c r="F195" s="81"/>
      <c r="G195" s="89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</row>
    <row r="196" spans="1:52" ht="15" customHeight="1" x14ac:dyDescent="0.2">
      <c r="A196" s="81"/>
      <c r="B196" s="81"/>
      <c r="C196" s="81"/>
      <c r="D196" s="81"/>
      <c r="E196" s="81"/>
      <c r="F196" s="81"/>
      <c r="G196" s="89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</row>
    <row r="197" spans="1:52" ht="15" customHeight="1" x14ac:dyDescent="0.2">
      <c r="A197" s="81"/>
      <c r="B197" s="81"/>
      <c r="C197" s="81"/>
      <c r="D197" s="81"/>
      <c r="E197" s="81"/>
      <c r="F197" s="81"/>
      <c r="G197" s="89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</row>
    <row r="198" spans="1:52" ht="15" customHeight="1" x14ac:dyDescent="0.2">
      <c r="A198" s="81"/>
      <c r="B198" s="81"/>
      <c r="C198" s="81"/>
      <c r="D198" s="81"/>
      <c r="E198" s="81"/>
      <c r="F198" s="81"/>
      <c r="G198" s="89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</row>
    <row r="199" spans="1:52" ht="15" customHeight="1" x14ac:dyDescent="0.2">
      <c r="A199" s="81"/>
      <c r="B199" s="81"/>
      <c r="C199" s="81"/>
      <c r="D199" s="81"/>
      <c r="E199" s="81"/>
      <c r="F199" s="81"/>
      <c r="G199" s="89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</row>
    <row r="200" spans="1:52" ht="15" customHeight="1" x14ac:dyDescent="0.2">
      <c r="A200" s="81"/>
      <c r="B200" s="81"/>
      <c r="C200" s="81"/>
      <c r="D200" s="81"/>
      <c r="E200" s="81"/>
      <c r="F200" s="81"/>
      <c r="G200" s="89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</row>
  </sheetData>
  <phoneticPr fontId="42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200"/>
  <sheetViews>
    <sheetView showGridLines="0" zoomScaleNormal="100" workbookViewId="0">
      <selection activeCell="G11" sqref="G11"/>
    </sheetView>
  </sheetViews>
  <sheetFormatPr baseColWidth="10" defaultColWidth="8.7109375" defaultRowHeight="12.75" x14ac:dyDescent="0.2"/>
  <cols>
    <col min="1" max="10" width="20" customWidth="1"/>
  </cols>
  <sheetData>
    <row r="1" spans="1:52" ht="17.25" customHeight="1" x14ac:dyDescent="0.2">
      <c r="A1" s="136" t="s">
        <v>183</v>
      </c>
      <c r="B1" s="136"/>
      <c r="C1" s="136"/>
      <c r="D1" s="136"/>
      <c r="E1" s="136"/>
      <c r="F1" s="136"/>
      <c r="G1" s="136"/>
      <c r="H1" s="136"/>
      <c r="I1" s="136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</row>
    <row r="2" spans="1:52" ht="15" customHeight="1" x14ac:dyDescent="0.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</row>
    <row r="3" spans="1:52" ht="15" customHeight="1" x14ac:dyDescent="0.2">
      <c r="A3" s="91" t="s">
        <v>161</v>
      </c>
      <c r="B3" s="91" t="str">
        <f>Dashboard!A4</f>
        <v>Casa Central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</row>
    <row r="4" spans="1:52" ht="15" customHeight="1" x14ac:dyDescent="0.2">
      <c r="A4" s="91" t="s">
        <v>162</v>
      </c>
      <c r="B4" s="91">
        <f>Dashboard!E4</f>
        <v>2026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</row>
    <row r="5" spans="1:52" ht="15" customHeight="1" x14ac:dyDescent="0.2">
      <c r="A5" s="91" t="s">
        <v>164</v>
      </c>
      <c r="B5" s="91" t="str">
        <f>Dashboard!A4</f>
        <v>Casa Central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</row>
    <row r="6" spans="1:52" ht="15" customHeight="1" x14ac:dyDescent="0.2">
      <c r="A6" s="91" t="s">
        <v>184</v>
      </c>
      <c r="B6" s="91">
        <f>SUM(Dashboard!C17:C28)</f>
        <v>1008980.5000000002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</row>
    <row r="7" spans="1:52" ht="15" customHeight="1" x14ac:dyDescent="0.2">
      <c r="A7" s="91" t="s">
        <v>185</v>
      </c>
      <c r="B7" s="91">
        <f>SUM(Dashboard!E17:E28)</f>
        <v>94090.700000000012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</row>
    <row r="8" spans="1:52" ht="15" customHeight="1" x14ac:dyDescent="0.2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</row>
    <row r="9" spans="1:52" ht="15" customHeight="1" x14ac:dyDescent="0.2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</row>
    <row r="10" spans="1:52" ht="23.25" customHeight="1" x14ac:dyDescent="0.2">
      <c r="A10" s="88" t="s">
        <v>129</v>
      </c>
      <c r="B10" s="88" t="s">
        <v>186</v>
      </c>
      <c r="C10" s="88" t="s">
        <v>187</v>
      </c>
      <c r="D10" s="88" t="s">
        <v>188</v>
      </c>
      <c r="E10" s="88" t="s">
        <v>189</v>
      </c>
      <c r="F10" s="88" t="s">
        <v>190</v>
      </c>
      <c r="G10" s="88" t="s">
        <v>191</v>
      </c>
      <c r="H10" s="88" t="s">
        <v>192</v>
      </c>
      <c r="I10" s="88" t="s">
        <v>193</v>
      </c>
      <c r="J10" s="88" t="s">
        <v>194</v>
      </c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</row>
    <row r="11" spans="1:52" ht="15" customHeight="1" x14ac:dyDescent="0.2">
      <c r="A11" s="92">
        <v>-0.3</v>
      </c>
      <c r="B11" s="93">
        <f t="shared" ref="B11:B23" si="0">B$6*(1+A11)</f>
        <v>706286.35000000009</v>
      </c>
      <c r="C11" s="93">
        <f t="shared" ref="C11:C23" si="1">B$7*(1+A11)</f>
        <v>65863.490000000005</v>
      </c>
      <c r="D11" s="93">
        <f>SUM(Dashboard!B17:B28)*(1+A11)</f>
        <v>642078.5</v>
      </c>
      <c r="E11" s="93">
        <f>B11/Parametros!$B$6+C11/Parametros!$B$7+D11/Parametros!$B$8</f>
        <v>146321.2702777778</v>
      </c>
      <c r="F11" s="93">
        <f>AVERAGE(Dashboard!G17:G28)</f>
        <v>8.0833333333333339</v>
      </c>
      <c r="G11" s="93">
        <f>E11/Parametros!$B$9</f>
        <v>836.12154444444457</v>
      </c>
      <c r="H11" s="93">
        <f t="shared" ref="H11:H23" si="2">F11-G11</f>
        <v>-828.0382111111112</v>
      </c>
      <c r="I11" s="93">
        <f>ROUNDUP((C11/Parametros!$B$7)/Parametros!$B$10,0)</f>
        <v>10</v>
      </c>
      <c r="J11" s="94" t="str">
        <f t="shared" ref="J11:J23" si="3">IF(H11&lt;0,"Agregar "&amp;ROUNDUP(ABS(H11),0)&amp;" operario(s)","Sin acción")</f>
        <v>Agregar 829 operario(s)</v>
      </c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</row>
    <row r="12" spans="1:52" ht="15" customHeight="1" x14ac:dyDescent="0.2">
      <c r="A12" s="92">
        <v>-0.25</v>
      </c>
      <c r="B12" s="93">
        <f t="shared" si="0"/>
        <v>756735.37500000023</v>
      </c>
      <c r="C12" s="93">
        <f t="shared" si="1"/>
        <v>70568.025000000009</v>
      </c>
      <c r="D12" s="93">
        <f>SUM(Dashboard!B17:B28)*(1+A12)</f>
        <v>687941.25</v>
      </c>
      <c r="E12" s="93">
        <f>B12/Parametros!$B$6+C12/Parametros!$B$7+D12/Parametros!$B$8</f>
        <v>156772.78958333333</v>
      </c>
      <c r="F12" s="93">
        <f>AVERAGE(Dashboard!G17:G28)</f>
        <v>8.0833333333333339</v>
      </c>
      <c r="G12" s="93">
        <f>E12/Parametros!$B$9</f>
        <v>895.84451190476193</v>
      </c>
      <c r="H12" s="93">
        <f t="shared" si="2"/>
        <v>-887.76117857142856</v>
      </c>
      <c r="I12" s="93">
        <f>ROUNDUP((C12/Parametros!$B$7)/Parametros!$B$10,0)</f>
        <v>11</v>
      </c>
      <c r="J12" s="94" t="str">
        <f t="shared" si="3"/>
        <v>Agregar 888 operario(s)</v>
      </c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</row>
    <row r="13" spans="1:52" ht="15" customHeight="1" x14ac:dyDescent="0.2">
      <c r="A13" s="92">
        <v>-0.2</v>
      </c>
      <c r="B13" s="93">
        <f t="shared" si="0"/>
        <v>807184.40000000026</v>
      </c>
      <c r="C13" s="93">
        <f t="shared" si="1"/>
        <v>75272.560000000012</v>
      </c>
      <c r="D13" s="93">
        <f>SUM(Dashboard!B17:B28)*(1+A13)</f>
        <v>733804</v>
      </c>
      <c r="E13" s="93">
        <f>B13/Parametros!$B$6+C13/Parametros!$B$7+D13/Parametros!$B$8</f>
        <v>167224.30888888889</v>
      </c>
      <c r="F13" s="93">
        <f>AVERAGE(Dashboard!G17:G28)</f>
        <v>8.0833333333333339</v>
      </c>
      <c r="G13" s="93">
        <f>E13/Parametros!$B$9</f>
        <v>955.56747936507941</v>
      </c>
      <c r="H13" s="93">
        <f t="shared" si="2"/>
        <v>-947.48414603174604</v>
      </c>
      <c r="I13" s="93">
        <f>ROUNDUP((C13/Parametros!$B$7)/Parametros!$B$10,0)</f>
        <v>12</v>
      </c>
      <c r="J13" s="94" t="str">
        <f t="shared" si="3"/>
        <v>Agregar 948 operario(s)</v>
      </c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</row>
    <row r="14" spans="1:52" ht="15" customHeight="1" x14ac:dyDescent="0.2">
      <c r="A14" s="92">
        <v>-0.15</v>
      </c>
      <c r="B14" s="93">
        <f t="shared" si="0"/>
        <v>857633.42500000016</v>
      </c>
      <c r="C14" s="93">
        <f t="shared" si="1"/>
        <v>79977.095000000001</v>
      </c>
      <c r="D14" s="93">
        <f>SUM(Dashboard!B17:B28)*(1+A14)</f>
        <v>779666.75</v>
      </c>
      <c r="E14" s="93">
        <f>B14/Parametros!$B$6+C14/Parametros!$B$7+D14/Parametros!$B$8</f>
        <v>177675.82819444445</v>
      </c>
      <c r="F14" s="93">
        <f>AVERAGE(Dashboard!G17:G28)</f>
        <v>8.0833333333333339</v>
      </c>
      <c r="G14" s="93">
        <f>E14/Parametros!$B$9</f>
        <v>1015.2904468253969</v>
      </c>
      <c r="H14" s="93">
        <f t="shared" si="2"/>
        <v>-1007.2071134920635</v>
      </c>
      <c r="I14" s="93">
        <f>ROUNDUP((C14/Parametros!$B$7)/Parametros!$B$10,0)</f>
        <v>13</v>
      </c>
      <c r="J14" s="94" t="str">
        <f t="shared" si="3"/>
        <v>Agregar 1008 operario(s)</v>
      </c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</row>
    <row r="15" spans="1:52" ht="15" customHeight="1" x14ac:dyDescent="0.2">
      <c r="A15" s="92">
        <v>-0.1</v>
      </c>
      <c r="B15" s="93">
        <f t="shared" si="0"/>
        <v>908082.45000000019</v>
      </c>
      <c r="C15" s="93">
        <f t="shared" si="1"/>
        <v>84681.630000000019</v>
      </c>
      <c r="D15" s="93">
        <f>SUM(Dashboard!B17:B28)*(1+A15)</f>
        <v>825529.5</v>
      </c>
      <c r="E15" s="93">
        <f>B15/Parametros!$B$6+C15/Parametros!$B$7+D15/Parametros!$B$8</f>
        <v>188127.3475</v>
      </c>
      <c r="F15" s="93">
        <f>AVERAGE(Dashboard!G17:G28)</f>
        <v>8.0833333333333339</v>
      </c>
      <c r="G15" s="93">
        <f>E15/Parametros!$B$9</f>
        <v>1075.0134142857144</v>
      </c>
      <c r="H15" s="93">
        <f t="shared" si="2"/>
        <v>-1066.9300809523811</v>
      </c>
      <c r="I15" s="93">
        <f>ROUNDUP((C15/Parametros!$B$7)/Parametros!$B$10,0)</f>
        <v>13</v>
      </c>
      <c r="J15" s="94" t="str">
        <f t="shared" si="3"/>
        <v>Agregar 1067 operario(s)</v>
      </c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</row>
    <row r="16" spans="1:52" ht="15" customHeight="1" x14ac:dyDescent="0.2">
      <c r="A16" s="92">
        <v>-0.05</v>
      </c>
      <c r="B16" s="93">
        <f t="shared" si="0"/>
        <v>958531.47500000021</v>
      </c>
      <c r="C16" s="93">
        <f t="shared" si="1"/>
        <v>89386.165000000008</v>
      </c>
      <c r="D16" s="93">
        <f>SUM(Dashboard!B17:B28)*(1+A16)</f>
        <v>871392.25</v>
      </c>
      <c r="E16" s="93">
        <f>B16/Parametros!$B$6+C16/Parametros!$B$7+D16/Parametros!$B$8</f>
        <v>198578.86680555556</v>
      </c>
      <c r="F16" s="93">
        <f>AVERAGE(Dashboard!G17:G28)</f>
        <v>8.0833333333333339</v>
      </c>
      <c r="G16" s="93">
        <f>E16/Parametros!$B$9</f>
        <v>1134.7363817460318</v>
      </c>
      <c r="H16" s="93">
        <f t="shared" si="2"/>
        <v>-1126.6530484126986</v>
      </c>
      <c r="I16" s="93">
        <f>ROUNDUP((C16/Parametros!$B$7)/Parametros!$B$10,0)</f>
        <v>14</v>
      </c>
      <c r="J16" s="94" t="str">
        <f t="shared" si="3"/>
        <v>Agregar 1127 operario(s)</v>
      </c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</row>
    <row r="17" spans="1:52" ht="15" customHeight="1" x14ac:dyDescent="0.2">
      <c r="A17" s="92">
        <v>0</v>
      </c>
      <c r="B17" s="93">
        <f t="shared" si="0"/>
        <v>1008980.5000000002</v>
      </c>
      <c r="C17" s="93">
        <f t="shared" si="1"/>
        <v>94090.700000000012</v>
      </c>
      <c r="D17" s="93">
        <f>SUM(Dashboard!B17:B28)*(1+A17)</f>
        <v>917255</v>
      </c>
      <c r="E17" s="93">
        <f>B17/Parametros!$B$6+C17/Parametros!$B$7+D17/Parametros!$B$8</f>
        <v>209030.38611111112</v>
      </c>
      <c r="F17" s="93">
        <f>AVERAGE(Dashboard!G17:G28)</f>
        <v>8.0833333333333339</v>
      </c>
      <c r="G17" s="93">
        <f>E17/Parametros!$B$9</f>
        <v>1194.4593492063493</v>
      </c>
      <c r="H17" s="93">
        <f t="shared" si="2"/>
        <v>-1186.3760158730161</v>
      </c>
      <c r="I17" s="93">
        <f>ROUNDUP((C17/Parametros!$B$7)/Parametros!$B$10,0)</f>
        <v>15</v>
      </c>
      <c r="J17" s="94" t="str">
        <f t="shared" si="3"/>
        <v>Agregar 1187 operario(s)</v>
      </c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</row>
    <row r="18" spans="1:52" ht="15" customHeight="1" x14ac:dyDescent="0.2">
      <c r="A18" s="92">
        <v>0.05</v>
      </c>
      <c r="B18" s="93">
        <f t="shared" si="0"/>
        <v>1059429.5250000004</v>
      </c>
      <c r="C18" s="93">
        <f t="shared" si="1"/>
        <v>98795.235000000015</v>
      </c>
      <c r="D18" s="93">
        <f>SUM(Dashboard!B17:B28)*(1+A18)</f>
        <v>963117.75</v>
      </c>
      <c r="E18" s="93">
        <f>B18/Parametros!$B$6+C18/Parametros!$B$7+D18/Parametros!$B$8</f>
        <v>219481.90541666665</v>
      </c>
      <c r="F18" s="93">
        <f>AVERAGE(Dashboard!G17:G28)</f>
        <v>8.0833333333333339</v>
      </c>
      <c r="G18" s="93">
        <f>E18/Parametros!$B$9</f>
        <v>1254.1823166666666</v>
      </c>
      <c r="H18" s="93">
        <f t="shared" si="2"/>
        <v>-1246.0989833333333</v>
      </c>
      <c r="I18" s="93">
        <f>ROUNDUP((C18/Parametros!$B$7)/Parametros!$B$10,0)</f>
        <v>15</v>
      </c>
      <c r="J18" s="94" t="str">
        <f t="shared" si="3"/>
        <v>Agregar 1247 operario(s)</v>
      </c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</row>
    <row r="19" spans="1:52" ht="15" customHeight="1" x14ac:dyDescent="0.2">
      <c r="A19" s="92">
        <v>0.1</v>
      </c>
      <c r="B19" s="93">
        <f t="shared" si="0"/>
        <v>1109878.5500000003</v>
      </c>
      <c r="C19" s="93">
        <f t="shared" si="1"/>
        <v>103499.77000000002</v>
      </c>
      <c r="D19" s="93">
        <f>SUM(Dashboard!B17:B28)*(1+A19)</f>
        <v>1008980.5000000001</v>
      </c>
      <c r="E19" s="93">
        <f>B19/Parametros!$B$6+C19/Parametros!$B$7+D19/Parametros!$B$8</f>
        <v>229933.42472222223</v>
      </c>
      <c r="F19" s="93">
        <f>AVERAGE(Dashboard!G17:G28)</f>
        <v>8.0833333333333339</v>
      </c>
      <c r="G19" s="93">
        <f>E19/Parametros!$B$9</f>
        <v>1313.9052841269843</v>
      </c>
      <c r="H19" s="93">
        <f t="shared" si="2"/>
        <v>-1305.821950793651</v>
      </c>
      <c r="I19" s="93">
        <f>ROUNDUP((C19/Parametros!$B$7)/Parametros!$B$10,0)</f>
        <v>16</v>
      </c>
      <c r="J19" s="94" t="str">
        <f t="shared" si="3"/>
        <v>Agregar 1306 operario(s)</v>
      </c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</row>
    <row r="20" spans="1:52" ht="15" customHeight="1" x14ac:dyDescent="0.2">
      <c r="A20" s="92">
        <v>0.15</v>
      </c>
      <c r="B20" s="93">
        <f t="shared" si="0"/>
        <v>1160327.5750000002</v>
      </c>
      <c r="C20" s="93">
        <f t="shared" si="1"/>
        <v>108204.30500000001</v>
      </c>
      <c r="D20" s="93">
        <f>SUM(Dashboard!B17:B28)*(1+A20)</f>
        <v>1054843.25</v>
      </c>
      <c r="E20" s="93">
        <f>B20/Parametros!$B$6+C20/Parametros!$B$7+D20/Parametros!$B$8</f>
        <v>240384.94402777779</v>
      </c>
      <c r="F20" s="93">
        <f>AVERAGE(Dashboard!G17:G28)</f>
        <v>8.0833333333333339</v>
      </c>
      <c r="G20" s="93">
        <f>E20/Parametros!$B$9</f>
        <v>1373.6282515873017</v>
      </c>
      <c r="H20" s="93">
        <f t="shared" si="2"/>
        <v>-1365.5449182539685</v>
      </c>
      <c r="I20" s="93">
        <f>ROUNDUP((C20/Parametros!$B$7)/Parametros!$B$10,0)</f>
        <v>17</v>
      </c>
      <c r="J20" s="94" t="str">
        <f t="shared" si="3"/>
        <v>Agregar 1366 operario(s)</v>
      </c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</row>
    <row r="21" spans="1:52" ht="15" customHeight="1" x14ac:dyDescent="0.2">
      <c r="A21" s="92">
        <v>0.2</v>
      </c>
      <c r="B21" s="93">
        <f t="shared" si="0"/>
        <v>1210776.6000000003</v>
      </c>
      <c r="C21" s="93">
        <f t="shared" si="1"/>
        <v>112908.84000000001</v>
      </c>
      <c r="D21" s="93">
        <f>SUM(Dashboard!B17:B28)*(1+A21)</f>
        <v>1100706</v>
      </c>
      <c r="E21" s="93">
        <f>B21/Parametros!$B$6+C21/Parametros!$B$7+D21/Parametros!$B$8</f>
        <v>250836.46333333335</v>
      </c>
      <c r="F21" s="93">
        <f>AVERAGE(Dashboard!G17:G28)</f>
        <v>8.0833333333333339</v>
      </c>
      <c r="G21" s="93">
        <f>E21/Parametros!$B$9</f>
        <v>1433.3512190476192</v>
      </c>
      <c r="H21" s="93">
        <f t="shared" si="2"/>
        <v>-1425.267885714286</v>
      </c>
      <c r="I21" s="93">
        <f>ROUNDUP((C21/Parametros!$B$7)/Parametros!$B$10,0)</f>
        <v>18</v>
      </c>
      <c r="J21" s="94" t="str">
        <f t="shared" si="3"/>
        <v>Agregar 1426 operario(s)</v>
      </c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</row>
    <row r="22" spans="1:52" ht="15" customHeight="1" x14ac:dyDescent="0.2">
      <c r="A22" s="92">
        <v>0.25</v>
      </c>
      <c r="B22" s="93">
        <f t="shared" si="0"/>
        <v>1261225.6250000002</v>
      </c>
      <c r="C22" s="93">
        <f t="shared" si="1"/>
        <v>117613.37500000001</v>
      </c>
      <c r="D22" s="93">
        <f>SUM(Dashboard!B17:B28)*(1+A22)</f>
        <v>1146568.75</v>
      </c>
      <c r="E22" s="93">
        <f>B22/Parametros!$B$6+C22/Parametros!$B$7+D22/Parametros!$B$8</f>
        <v>261287.98263888891</v>
      </c>
      <c r="F22" s="93">
        <f>AVERAGE(Dashboard!G17:G28)</f>
        <v>8.0833333333333339</v>
      </c>
      <c r="G22" s="93">
        <f>E22/Parametros!$B$9</f>
        <v>1493.0741865079367</v>
      </c>
      <c r="H22" s="93">
        <f t="shared" si="2"/>
        <v>-1484.9908531746034</v>
      </c>
      <c r="I22" s="93">
        <f>ROUNDUP((C22/Parametros!$B$7)/Parametros!$B$10,0)</f>
        <v>18</v>
      </c>
      <c r="J22" s="94" t="str">
        <f t="shared" si="3"/>
        <v>Agregar 1485 operario(s)</v>
      </c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</row>
    <row r="23" spans="1:52" ht="15" customHeight="1" x14ac:dyDescent="0.2">
      <c r="A23" s="92">
        <v>0.3</v>
      </c>
      <c r="B23" s="93">
        <f t="shared" si="0"/>
        <v>1311674.6500000004</v>
      </c>
      <c r="C23" s="93">
        <f t="shared" si="1"/>
        <v>122317.91000000002</v>
      </c>
      <c r="D23" s="93">
        <f>SUM(Dashboard!B17:B28)*(1+A23)</f>
        <v>1192431.5</v>
      </c>
      <c r="E23" s="93">
        <f>B23/Parametros!$B$6+C23/Parametros!$B$7+D23/Parametros!$B$8</f>
        <v>271739.50194444443</v>
      </c>
      <c r="F23" s="93">
        <f>AVERAGE(Dashboard!G17:G28)</f>
        <v>8.0833333333333339</v>
      </c>
      <c r="G23" s="93">
        <f>E23/Parametros!$B$9</f>
        <v>1552.797153968254</v>
      </c>
      <c r="H23" s="93">
        <f t="shared" si="2"/>
        <v>-1544.7138206349207</v>
      </c>
      <c r="I23" s="93">
        <f>ROUNDUP((C23/Parametros!$B$7)/Parametros!$B$10,0)</f>
        <v>19</v>
      </c>
      <c r="J23" s="94" t="str">
        <f t="shared" si="3"/>
        <v>Agregar 1545 operario(s)</v>
      </c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</row>
    <row r="24" spans="1:52" ht="15" customHeight="1" x14ac:dyDescent="0.2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</row>
    <row r="25" spans="1:52" ht="15" customHeight="1" x14ac:dyDescent="0.2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</row>
    <row r="26" spans="1:52" ht="15" customHeight="1" x14ac:dyDescent="0.2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</row>
    <row r="27" spans="1:52" ht="15" customHeight="1" x14ac:dyDescent="0.2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</row>
    <row r="28" spans="1:52" ht="15" customHeight="1" x14ac:dyDescent="0.2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</row>
    <row r="29" spans="1:52" ht="15" customHeight="1" x14ac:dyDescent="0.2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</row>
    <row r="30" spans="1:52" ht="15" customHeight="1" x14ac:dyDescent="0.2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</row>
    <row r="31" spans="1:52" ht="15" customHeight="1" x14ac:dyDescent="0.2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</row>
    <row r="32" spans="1:52" ht="15" customHeight="1" x14ac:dyDescent="0.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</row>
    <row r="33" spans="1:52" ht="15" customHeight="1" x14ac:dyDescent="0.2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</row>
    <row r="34" spans="1:52" ht="15" customHeight="1" x14ac:dyDescent="0.2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</row>
    <row r="35" spans="1:52" ht="15" customHeight="1" x14ac:dyDescent="0.2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</row>
    <row r="36" spans="1:52" ht="15" customHeight="1" x14ac:dyDescent="0.2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</row>
    <row r="37" spans="1:52" ht="15" customHeight="1" x14ac:dyDescent="0.2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</row>
    <row r="38" spans="1:52" ht="15" customHeight="1" x14ac:dyDescent="0.2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</row>
    <row r="39" spans="1:52" ht="15" customHeight="1" x14ac:dyDescent="0.2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</row>
    <row r="40" spans="1:52" ht="15" customHeight="1" x14ac:dyDescent="0.2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</row>
    <row r="41" spans="1:52" ht="15" customHeight="1" x14ac:dyDescent="0.2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</row>
    <row r="42" spans="1:52" ht="15" customHeight="1" x14ac:dyDescent="0.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</row>
    <row r="43" spans="1:52" ht="15" customHeight="1" x14ac:dyDescent="0.2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</row>
    <row r="44" spans="1:52" ht="15" customHeight="1" x14ac:dyDescent="0.2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</row>
    <row r="45" spans="1:52" ht="15" customHeight="1" x14ac:dyDescent="0.2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</row>
    <row r="46" spans="1:52" ht="15" customHeight="1" x14ac:dyDescent="0.2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</row>
    <row r="47" spans="1:52" ht="15" customHeight="1" x14ac:dyDescent="0.2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</row>
    <row r="48" spans="1:52" ht="15" customHeight="1" x14ac:dyDescent="0.2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</row>
    <row r="49" spans="1:52" ht="15" customHeight="1" x14ac:dyDescent="0.2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</row>
    <row r="50" spans="1:52" ht="15" customHeight="1" x14ac:dyDescent="0.2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</row>
    <row r="51" spans="1:52" ht="15" customHeight="1" x14ac:dyDescent="0.2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</row>
    <row r="52" spans="1:52" ht="15" customHeight="1" x14ac:dyDescent="0.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</row>
    <row r="53" spans="1:52" ht="15" customHeight="1" x14ac:dyDescent="0.2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</row>
    <row r="54" spans="1:52" ht="15" customHeight="1" x14ac:dyDescent="0.2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</row>
    <row r="55" spans="1:52" ht="15" customHeight="1" x14ac:dyDescent="0.2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</row>
    <row r="56" spans="1:52" ht="15" customHeight="1" x14ac:dyDescent="0.2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</row>
    <row r="57" spans="1:52" ht="15" customHeight="1" x14ac:dyDescent="0.2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</row>
    <row r="58" spans="1:52" ht="15" customHeight="1" x14ac:dyDescent="0.2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</row>
    <row r="59" spans="1:52" ht="15" customHeight="1" x14ac:dyDescent="0.2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</row>
    <row r="60" spans="1:52" ht="15" customHeight="1" x14ac:dyDescent="0.2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</row>
    <row r="61" spans="1:52" ht="15" customHeight="1" x14ac:dyDescent="0.2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</row>
    <row r="62" spans="1:52" ht="15" customHeight="1" x14ac:dyDescent="0.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</row>
    <row r="63" spans="1:52" ht="15" customHeight="1" x14ac:dyDescent="0.2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</row>
    <row r="64" spans="1:52" ht="15" customHeight="1" x14ac:dyDescent="0.2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</row>
    <row r="65" spans="1:52" ht="15" customHeight="1" x14ac:dyDescent="0.2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</row>
    <row r="66" spans="1:52" ht="15" customHeight="1" x14ac:dyDescent="0.2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</row>
    <row r="67" spans="1:52" ht="15" customHeight="1" x14ac:dyDescent="0.2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</row>
    <row r="68" spans="1:52" ht="15" customHeight="1" x14ac:dyDescent="0.2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</row>
    <row r="69" spans="1:52" ht="15" customHeight="1" x14ac:dyDescent="0.2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</row>
    <row r="70" spans="1:52" ht="15" customHeight="1" x14ac:dyDescent="0.2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</row>
    <row r="71" spans="1:52" ht="15" customHeight="1" x14ac:dyDescent="0.2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</row>
    <row r="72" spans="1:52" ht="15" customHeight="1" x14ac:dyDescent="0.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</row>
    <row r="73" spans="1:52" ht="15" customHeight="1" x14ac:dyDescent="0.2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</row>
    <row r="74" spans="1:52" ht="15" customHeight="1" x14ac:dyDescent="0.2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</row>
    <row r="75" spans="1:52" ht="15" customHeight="1" x14ac:dyDescent="0.2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</row>
    <row r="76" spans="1:52" ht="15" customHeight="1" x14ac:dyDescent="0.2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</row>
    <row r="77" spans="1:52" ht="15" customHeight="1" x14ac:dyDescent="0.2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</row>
    <row r="78" spans="1:52" ht="15" customHeight="1" x14ac:dyDescent="0.2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</row>
    <row r="79" spans="1:52" ht="15" customHeight="1" x14ac:dyDescent="0.2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</row>
    <row r="80" spans="1:52" ht="15" customHeight="1" x14ac:dyDescent="0.2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</row>
    <row r="81" spans="1:52" ht="15" customHeight="1" x14ac:dyDescent="0.2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</row>
    <row r="82" spans="1:52" ht="15" customHeight="1" x14ac:dyDescent="0.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</row>
    <row r="83" spans="1:52" ht="15" customHeight="1" x14ac:dyDescent="0.2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</row>
    <row r="84" spans="1:52" ht="15" customHeight="1" x14ac:dyDescent="0.2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</row>
    <row r="85" spans="1:52" ht="15" customHeight="1" x14ac:dyDescent="0.2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</row>
    <row r="86" spans="1:52" ht="15" customHeight="1" x14ac:dyDescent="0.2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</row>
    <row r="87" spans="1:52" ht="15" customHeight="1" x14ac:dyDescent="0.2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</row>
    <row r="88" spans="1:52" ht="15" customHeight="1" x14ac:dyDescent="0.2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</row>
    <row r="89" spans="1:52" ht="15" customHeight="1" x14ac:dyDescent="0.2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</row>
    <row r="90" spans="1:52" ht="15" customHeight="1" x14ac:dyDescent="0.2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</row>
    <row r="91" spans="1:52" ht="15" customHeight="1" x14ac:dyDescent="0.2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</row>
    <row r="92" spans="1:52" ht="15" customHeight="1" x14ac:dyDescent="0.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</row>
    <row r="93" spans="1:52" ht="15" customHeight="1" x14ac:dyDescent="0.2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</row>
    <row r="94" spans="1:52" ht="15" customHeight="1" x14ac:dyDescent="0.2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</row>
    <row r="95" spans="1:52" ht="15" customHeight="1" x14ac:dyDescent="0.2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</row>
    <row r="96" spans="1:52" ht="15" customHeight="1" x14ac:dyDescent="0.2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</row>
    <row r="97" spans="1:52" ht="15" customHeight="1" x14ac:dyDescent="0.2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</row>
    <row r="98" spans="1:52" ht="15" customHeight="1" x14ac:dyDescent="0.2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</row>
    <row r="99" spans="1:52" ht="15" customHeight="1" x14ac:dyDescent="0.2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</row>
    <row r="100" spans="1:52" ht="15" customHeight="1" x14ac:dyDescent="0.2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</row>
    <row r="101" spans="1:52" ht="15" customHeight="1" x14ac:dyDescent="0.2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</row>
    <row r="102" spans="1:52" ht="15" customHeight="1" x14ac:dyDescent="0.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</row>
    <row r="103" spans="1:52" ht="15" customHeight="1" x14ac:dyDescent="0.2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</row>
    <row r="104" spans="1:52" ht="15" customHeight="1" x14ac:dyDescent="0.2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</row>
    <row r="105" spans="1:52" ht="15" customHeight="1" x14ac:dyDescent="0.2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</row>
    <row r="106" spans="1:52" ht="15" customHeight="1" x14ac:dyDescent="0.2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</row>
    <row r="107" spans="1:52" ht="15" customHeight="1" x14ac:dyDescent="0.2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</row>
    <row r="108" spans="1:52" ht="15" customHeight="1" x14ac:dyDescent="0.2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</row>
    <row r="109" spans="1:52" ht="15" customHeight="1" x14ac:dyDescent="0.2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</row>
    <row r="110" spans="1:52" ht="15" customHeight="1" x14ac:dyDescent="0.2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</row>
    <row r="111" spans="1:52" ht="15" customHeight="1" x14ac:dyDescent="0.2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</row>
    <row r="112" spans="1:52" ht="15" customHeight="1" x14ac:dyDescent="0.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</row>
    <row r="113" spans="1:52" ht="15" customHeight="1" x14ac:dyDescent="0.2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</row>
    <row r="114" spans="1:52" ht="15" customHeight="1" x14ac:dyDescent="0.2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</row>
    <row r="115" spans="1:52" ht="15" customHeight="1" x14ac:dyDescent="0.2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</row>
    <row r="116" spans="1:52" ht="15" customHeight="1" x14ac:dyDescent="0.2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</row>
    <row r="117" spans="1:52" ht="15" customHeight="1" x14ac:dyDescent="0.2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</row>
    <row r="118" spans="1:52" ht="15" customHeight="1" x14ac:dyDescent="0.2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</row>
    <row r="119" spans="1:52" ht="15" customHeight="1" x14ac:dyDescent="0.2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</row>
    <row r="120" spans="1:52" ht="15" customHeight="1" x14ac:dyDescent="0.2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</row>
    <row r="121" spans="1:52" ht="15" customHeight="1" x14ac:dyDescent="0.2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</row>
    <row r="122" spans="1:52" ht="15" customHeight="1" x14ac:dyDescent="0.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</row>
    <row r="123" spans="1:52" ht="15" customHeight="1" x14ac:dyDescent="0.2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</row>
    <row r="124" spans="1:52" ht="15" customHeight="1" x14ac:dyDescent="0.2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</row>
    <row r="125" spans="1:52" ht="15" customHeight="1" x14ac:dyDescent="0.2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</row>
    <row r="126" spans="1:52" ht="15" customHeight="1" x14ac:dyDescent="0.2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</row>
    <row r="127" spans="1:52" ht="15" customHeight="1" x14ac:dyDescent="0.2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</row>
    <row r="128" spans="1:52" ht="15" customHeight="1" x14ac:dyDescent="0.2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</row>
    <row r="129" spans="1:52" ht="15" customHeight="1" x14ac:dyDescent="0.2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</row>
    <row r="130" spans="1:52" ht="15" customHeight="1" x14ac:dyDescent="0.2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</row>
    <row r="131" spans="1:52" ht="15" customHeight="1" x14ac:dyDescent="0.2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</row>
    <row r="132" spans="1:52" ht="15" customHeight="1" x14ac:dyDescent="0.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</row>
    <row r="133" spans="1:52" ht="15" customHeight="1" x14ac:dyDescent="0.2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</row>
    <row r="134" spans="1:52" ht="15" customHeight="1" x14ac:dyDescent="0.2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</row>
    <row r="135" spans="1:52" ht="15" customHeight="1" x14ac:dyDescent="0.2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</row>
    <row r="136" spans="1:52" ht="15" customHeight="1" x14ac:dyDescent="0.2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</row>
    <row r="137" spans="1:52" ht="15" customHeight="1" x14ac:dyDescent="0.2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</row>
    <row r="138" spans="1:52" ht="15" customHeight="1" x14ac:dyDescent="0.2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</row>
    <row r="139" spans="1:52" ht="15" customHeight="1" x14ac:dyDescent="0.2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</row>
    <row r="140" spans="1:52" ht="15" customHeight="1" x14ac:dyDescent="0.2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</row>
    <row r="141" spans="1:52" ht="15" customHeight="1" x14ac:dyDescent="0.2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</row>
    <row r="142" spans="1:52" ht="15" customHeight="1" x14ac:dyDescent="0.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</row>
    <row r="143" spans="1:52" ht="15" customHeight="1" x14ac:dyDescent="0.2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</row>
    <row r="144" spans="1:52" ht="15" customHeight="1" x14ac:dyDescent="0.2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</row>
    <row r="145" spans="1:52" ht="15" customHeight="1" x14ac:dyDescent="0.2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</row>
    <row r="146" spans="1:52" ht="15" customHeight="1" x14ac:dyDescent="0.2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</row>
    <row r="147" spans="1:52" ht="15" customHeight="1" x14ac:dyDescent="0.2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</row>
    <row r="148" spans="1:52" ht="15" customHeight="1" x14ac:dyDescent="0.2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</row>
    <row r="149" spans="1:52" ht="15" customHeight="1" x14ac:dyDescent="0.2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</row>
    <row r="150" spans="1:52" ht="15" customHeight="1" x14ac:dyDescent="0.2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</row>
    <row r="151" spans="1:52" ht="15" customHeight="1" x14ac:dyDescent="0.2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</row>
    <row r="152" spans="1:52" ht="15" customHeight="1" x14ac:dyDescent="0.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</row>
    <row r="153" spans="1:52" ht="15" customHeight="1" x14ac:dyDescent="0.2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</row>
    <row r="154" spans="1:52" ht="15" customHeight="1" x14ac:dyDescent="0.2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</row>
    <row r="155" spans="1:52" ht="15" customHeight="1" x14ac:dyDescent="0.2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</row>
    <row r="156" spans="1:52" ht="15" customHeight="1" x14ac:dyDescent="0.2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</row>
    <row r="157" spans="1:52" ht="15" customHeight="1" x14ac:dyDescent="0.2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</row>
    <row r="158" spans="1:52" ht="15" customHeight="1" x14ac:dyDescent="0.2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</row>
    <row r="159" spans="1:52" ht="15" customHeight="1" x14ac:dyDescent="0.2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</row>
    <row r="160" spans="1:52" ht="15" customHeight="1" x14ac:dyDescent="0.2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</row>
    <row r="161" spans="1:52" ht="15" customHeight="1" x14ac:dyDescent="0.2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</row>
    <row r="162" spans="1:52" ht="15" customHeight="1" x14ac:dyDescent="0.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</row>
    <row r="163" spans="1:52" ht="15" customHeight="1" x14ac:dyDescent="0.2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</row>
    <row r="164" spans="1:52" ht="15" customHeight="1" x14ac:dyDescent="0.2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</row>
    <row r="165" spans="1:52" ht="15" customHeight="1" x14ac:dyDescent="0.2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</row>
    <row r="166" spans="1:52" ht="15" customHeight="1" x14ac:dyDescent="0.2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</row>
    <row r="167" spans="1:52" ht="15" customHeight="1" x14ac:dyDescent="0.2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</row>
    <row r="168" spans="1:52" ht="15" customHeight="1" x14ac:dyDescent="0.2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</row>
    <row r="169" spans="1:52" ht="15" customHeight="1" x14ac:dyDescent="0.2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</row>
    <row r="170" spans="1:52" ht="15" customHeight="1" x14ac:dyDescent="0.2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</row>
    <row r="171" spans="1:52" ht="15" customHeight="1" x14ac:dyDescent="0.2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</row>
    <row r="172" spans="1:52" ht="15" customHeight="1" x14ac:dyDescent="0.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</row>
    <row r="173" spans="1:52" ht="15" customHeight="1" x14ac:dyDescent="0.2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</row>
    <row r="174" spans="1:52" ht="15" customHeight="1" x14ac:dyDescent="0.2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</row>
    <row r="175" spans="1:52" ht="15" customHeight="1" x14ac:dyDescent="0.2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</row>
    <row r="176" spans="1:52" ht="15" customHeight="1" x14ac:dyDescent="0.2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</row>
    <row r="177" spans="1:52" ht="15" customHeight="1" x14ac:dyDescent="0.2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</row>
    <row r="178" spans="1:52" ht="15" customHeight="1" x14ac:dyDescent="0.2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</row>
    <row r="179" spans="1:52" ht="15" customHeight="1" x14ac:dyDescent="0.2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</row>
    <row r="180" spans="1:52" ht="15" customHeight="1" x14ac:dyDescent="0.2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</row>
    <row r="181" spans="1:52" ht="15" customHeight="1" x14ac:dyDescent="0.2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</row>
    <row r="182" spans="1:52" ht="15" customHeight="1" x14ac:dyDescent="0.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</row>
    <row r="183" spans="1:52" ht="15" customHeight="1" x14ac:dyDescent="0.2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</row>
    <row r="184" spans="1:52" ht="15" customHeight="1" x14ac:dyDescent="0.2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</row>
    <row r="185" spans="1:52" ht="15" customHeight="1" x14ac:dyDescent="0.2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</row>
    <row r="186" spans="1:52" ht="15" customHeight="1" x14ac:dyDescent="0.2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</row>
    <row r="187" spans="1:52" ht="15" customHeight="1" x14ac:dyDescent="0.2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</row>
    <row r="188" spans="1:52" ht="15" customHeight="1" x14ac:dyDescent="0.2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</row>
    <row r="189" spans="1:52" ht="15" customHeight="1" x14ac:dyDescent="0.2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</row>
    <row r="190" spans="1:52" ht="15" customHeight="1" x14ac:dyDescent="0.2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</row>
    <row r="191" spans="1:52" ht="15" customHeight="1" x14ac:dyDescent="0.2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</row>
    <row r="192" spans="1:52" ht="15" customHeight="1" x14ac:dyDescent="0.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</row>
    <row r="193" spans="1:52" ht="15" customHeight="1" x14ac:dyDescent="0.2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</row>
    <row r="194" spans="1:52" ht="15" customHeight="1" x14ac:dyDescent="0.2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</row>
    <row r="195" spans="1:52" ht="15" customHeight="1" x14ac:dyDescent="0.2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</row>
    <row r="196" spans="1:52" ht="15" customHeight="1" x14ac:dyDescent="0.2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</row>
    <row r="197" spans="1:52" ht="15" customHeight="1" x14ac:dyDescent="0.2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</row>
    <row r="198" spans="1:52" ht="15" customHeight="1" x14ac:dyDescent="0.2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</row>
    <row r="199" spans="1:52" ht="15" customHeight="1" x14ac:dyDescent="0.2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</row>
    <row r="200" spans="1:52" ht="15" customHeight="1" x14ac:dyDescent="0.2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</row>
  </sheetData>
  <mergeCells count="1">
    <mergeCell ref="A1:I1"/>
  </mergeCells>
  <conditionalFormatting sqref="H11:H23">
    <cfRule type="cellIs" dxfId="1" priority="2" operator="lessThan">
      <formula>0</formula>
    </cfRule>
  </conditionalFormatting>
  <conditionalFormatting sqref="J11:J23">
    <cfRule type="expression" dxfId="0" priority="3">
      <formula>ISNUMBER(SEARCH("Agregar",J11))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200"/>
  <sheetViews>
    <sheetView showGridLines="0" zoomScaleNormal="100" workbookViewId="0"/>
  </sheetViews>
  <sheetFormatPr baseColWidth="10" defaultColWidth="8.7109375" defaultRowHeight="12.75" x14ac:dyDescent="0.2"/>
  <cols>
    <col min="1" max="1" width="120" customWidth="1"/>
  </cols>
  <sheetData>
    <row r="1" spans="1:52" ht="25.5" customHeight="1" x14ac:dyDescent="0.2">
      <c r="A1" s="95" t="s">
        <v>195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</row>
    <row r="2" spans="1:52" ht="15" customHeight="1" x14ac:dyDescent="0.2">
      <c r="A2" s="96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</row>
    <row r="3" spans="1:52" ht="15" customHeight="1" x14ac:dyDescent="0.2">
      <c r="A3" s="97" t="s">
        <v>196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</row>
    <row r="4" spans="1:52" ht="23.25" customHeight="1" x14ac:dyDescent="0.2">
      <c r="A4" s="96" t="s">
        <v>197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</row>
    <row r="5" spans="1:52" ht="15" customHeight="1" x14ac:dyDescent="0.2">
      <c r="A5" s="96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</row>
    <row r="6" spans="1:52" ht="15" customHeight="1" x14ac:dyDescent="0.2">
      <c r="A6" s="97" t="s">
        <v>198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</row>
    <row r="7" spans="1:52" ht="15" customHeight="1" x14ac:dyDescent="0.2">
      <c r="A7" s="96" t="s">
        <v>199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</row>
    <row r="8" spans="1:52" ht="15" customHeight="1" x14ac:dyDescent="0.2">
      <c r="A8" s="96" t="s">
        <v>200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</row>
    <row r="9" spans="1:52" ht="15" customHeight="1" x14ac:dyDescent="0.2">
      <c r="A9" s="96" t="s">
        <v>201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</row>
    <row r="10" spans="1:52" ht="15" customHeight="1" x14ac:dyDescent="0.2">
      <c r="A10" s="96" t="s">
        <v>202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</row>
    <row r="11" spans="1:52" ht="15" customHeight="1" x14ac:dyDescent="0.2">
      <c r="A11" s="96" t="s">
        <v>203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</row>
    <row r="12" spans="1:52" ht="15" customHeight="1" x14ac:dyDescent="0.2">
      <c r="A12" s="96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</row>
    <row r="13" spans="1:52" ht="15" customHeight="1" x14ac:dyDescent="0.2">
      <c r="A13" s="97" t="s">
        <v>204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</row>
    <row r="14" spans="1:52" ht="57" customHeight="1" x14ac:dyDescent="0.2">
      <c r="A14" s="96" t="s">
        <v>205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</row>
    <row r="15" spans="1:52" ht="15" customHeight="1" x14ac:dyDescent="0.2">
      <c r="A15" s="96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</row>
    <row r="16" spans="1:52" ht="15" customHeight="1" x14ac:dyDescent="0.2">
      <c r="A16" s="96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</row>
    <row r="17" spans="1:52" ht="15" customHeight="1" x14ac:dyDescent="0.2">
      <c r="A17" s="96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</row>
    <row r="18" spans="1:52" ht="15" customHeight="1" x14ac:dyDescent="0.2">
      <c r="A18" s="96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</row>
    <row r="19" spans="1:52" ht="15" customHeight="1" x14ac:dyDescent="0.2">
      <c r="A19" s="96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</row>
    <row r="20" spans="1:52" ht="15" customHeight="1" x14ac:dyDescent="0.2">
      <c r="A20" s="96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</row>
    <row r="21" spans="1:52" ht="15" customHeight="1" x14ac:dyDescent="0.2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</row>
    <row r="22" spans="1:52" ht="15" customHeight="1" x14ac:dyDescent="0.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</row>
    <row r="23" spans="1:52" ht="15" customHeight="1" x14ac:dyDescent="0.2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</row>
    <row r="24" spans="1:52" ht="15" customHeight="1" x14ac:dyDescent="0.2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</row>
    <row r="25" spans="1:52" ht="15" customHeight="1" x14ac:dyDescent="0.2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</row>
    <row r="26" spans="1:52" ht="15" customHeight="1" x14ac:dyDescent="0.2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</row>
    <row r="27" spans="1:52" ht="15" customHeight="1" x14ac:dyDescent="0.2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</row>
    <row r="28" spans="1:52" ht="15" customHeight="1" x14ac:dyDescent="0.2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</row>
    <row r="29" spans="1:52" ht="15" customHeight="1" x14ac:dyDescent="0.2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</row>
    <row r="30" spans="1:52" ht="15" customHeight="1" x14ac:dyDescent="0.2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</row>
    <row r="31" spans="1:52" ht="15" customHeight="1" x14ac:dyDescent="0.2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</row>
    <row r="32" spans="1:52" ht="15" customHeight="1" x14ac:dyDescent="0.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</row>
    <row r="33" spans="1:52" ht="15" customHeight="1" x14ac:dyDescent="0.2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</row>
    <row r="34" spans="1:52" ht="15" customHeight="1" x14ac:dyDescent="0.2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</row>
    <row r="35" spans="1:52" ht="15" customHeight="1" x14ac:dyDescent="0.2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</row>
    <row r="36" spans="1:52" ht="15" customHeight="1" x14ac:dyDescent="0.2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</row>
    <row r="37" spans="1:52" ht="15" customHeight="1" x14ac:dyDescent="0.2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</row>
    <row r="38" spans="1:52" ht="15" customHeight="1" x14ac:dyDescent="0.2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</row>
    <row r="39" spans="1:52" ht="15" customHeight="1" x14ac:dyDescent="0.2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</row>
    <row r="40" spans="1:52" ht="15" customHeight="1" x14ac:dyDescent="0.2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</row>
    <row r="41" spans="1:52" ht="15" customHeight="1" x14ac:dyDescent="0.2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</row>
    <row r="42" spans="1:52" ht="15" customHeight="1" x14ac:dyDescent="0.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</row>
    <row r="43" spans="1:52" ht="15" customHeight="1" x14ac:dyDescent="0.2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</row>
    <row r="44" spans="1:52" ht="15" customHeight="1" x14ac:dyDescent="0.2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</row>
    <row r="45" spans="1:52" ht="15" customHeight="1" x14ac:dyDescent="0.2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</row>
    <row r="46" spans="1:52" ht="15" customHeight="1" x14ac:dyDescent="0.2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</row>
    <row r="47" spans="1:52" ht="15" customHeight="1" x14ac:dyDescent="0.2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</row>
    <row r="48" spans="1:52" ht="15" customHeight="1" x14ac:dyDescent="0.2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</row>
    <row r="49" spans="1:52" ht="15" customHeight="1" x14ac:dyDescent="0.2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</row>
    <row r="50" spans="1:52" ht="15" customHeight="1" x14ac:dyDescent="0.2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</row>
    <row r="51" spans="1:52" ht="15" customHeight="1" x14ac:dyDescent="0.2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</row>
    <row r="52" spans="1:52" ht="15" customHeight="1" x14ac:dyDescent="0.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</row>
    <row r="53" spans="1:52" ht="15" customHeight="1" x14ac:dyDescent="0.2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</row>
    <row r="54" spans="1:52" ht="15" customHeight="1" x14ac:dyDescent="0.2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</row>
    <row r="55" spans="1:52" ht="15" customHeight="1" x14ac:dyDescent="0.2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</row>
    <row r="56" spans="1:52" ht="15" customHeight="1" x14ac:dyDescent="0.2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</row>
    <row r="57" spans="1:52" ht="15" customHeight="1" x14ac:dyDescent="0.2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</row>
    <row r="58" spans="1:52" ht="15" customHeight="1" x14ac:dyDescent="0.2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</row>
    <row r="59" spans="1:52" ht="15" customHeight="1" x14ac:dyDescent="0.2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</row>
    <row r="60" spans="1:52" ht="15" customHeight="1" x14ac:dyDescent="0.2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</row>
    <row r="61" spans="1:52" ht="15" customHeight="1" x14ac:dyDescent="0.2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</row>
    <row r="62" spans="1:52" ht="15" customHeight="1" x14ac:dyDescent="0.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</row>
    <row r="63" spans="1:52" ht="15" customHeight="1" x14ac:dyDescent="0.2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</row>
    <row r="64" spans="1:52" ht="15" customHeight="1" x14ac:dyDescent="0.2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</row>
    <row r="65" spans="1:52" ht="15" customHeight="1" x14ac:dyDescent="0.2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</row>
    <row r="66" spans="1:52" ht="15" customHeight="1" x14ac:dyDescent="0.2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</row>
    <row r="67" spans="1:52" ht="15" customHeight="1" x14ac:dyDescent="0.2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</row>
    <row r="68" spans="1:52" ht="15" customHeight="1" x14ac:dyDescent="0.2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</row>
    <row r="69" spans="1:52" ht="15" customHeight="1" x14ac:dyDescent="0.2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</row>
    <row r="70" spans="1:52" ht="15" customHeight="1" x14ac:dyDescent="0.2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</row>
    <row r="71" spans="1:52" ht="15" customHeight="1" x14ac:dyDescent="0.2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</row>
    <row r="72" spans="1:52" ht="15" customHeight="1" x14ac:dyDescent="0.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</row>
    <row r="73" spans="1:52" ht="15" customHeight="1" x14ac:dyDescent="0.2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</row>
    <row r="74" spans="1:52" ht="15" customHeight="1" x14ac:dyDescent="0.2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</row>
    <row r="75" spans="1:52" ht="15" customHeight="1" x14ac:dyDescent="0.2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</row>
    <row r="76" spans="1:52" ht="15" customHeight="1" x14ac:dyDescent="0.2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</row>
    <row r="77" spans="1:52" ht="15" customHeight="1" x14ac:dyDescent="0.2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</row>
    <row r="78" spans="1:52" ht="15" customHeight="1" x14ac:dyDescent="0.2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</row>
    <row r="79" spans="1:52" ht="15" customHeight="1" x14ac:dyDescent="0.2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</row>
    <row r="80" spans="1:52" ht="15" customHeight="1" x14ac:dyDescent="0.2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</row>
    <row r="81" spans="1:52" ht="15" customHeight="1" x14ac:dyDescent="0.2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</row>
    <row r="82" spans="1:52" ht="15" customHeight="1" x14ac:dyDescent="0.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</row>
    <row r="83" spans="1:52" ht="15" customHeight="1" x14ac:dyDescent="0.2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</row>
    <row r="84" spans="1:52" ht="15" customHeight="1" x14ac:dyDescent="0.2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</row>
    <row r="85" spans="1:52" ht="15" customHeight="1" x14ac:dyDescent="0.2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</row>
    <row r="86" spans="1:52" ht="15" customHeight="1" x14ac:dyDescent="0.2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</row>
    <row r="87" spans="1:52" ht="15" customHeight="1" x14ac:dyDescent="0.2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</row>
    <row r="88" spans="1:52" ht="15" customHeight="1" x14ac:dyDescent="0.2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</row>
    <row r="89" spans="1:52" ht="15" customHeight="1" x14ac:dyDescent="0.2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</row>
    <row r="90" spans="1:52" ht="15" customHeight="1" x14ac:dyDescent="0.2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</row>
    <row r="91" spans="1:52" ht="15" customHeight="1" x14ac:dyDescent="0.2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</row>
    <row r="92" spans="1:52" ht="15" customHeight="1" x14ac:dyDescent="0.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</row>
    <row r="93" spans="1:52" ht="15" customHeight="1" x14ac:dyDescent="0.2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</row>
    <row r="94" spans="1:52" ht="15" customHeight="1" x14ac:dyDescent="0.2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</row>
    <row r="95" spans="1:52" ht="15" customHeight="1" x14ac:dyDescent="0.2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</row>
    <row r="96" spans="1:52" ht="15" customHeight="1" x14ac:dyDescent="0.2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</row>
    <row r="97" spans="1:52" ht="15" customHeight="1" x14ac:dyDescent="0.2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</row>
    <row r="98" spans="1:52" ht="15" customHeight="1" x14ac:dyDescent="0.2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</row>
    <row r="99" spans="1:52" ht="15" customHeight="1" x14ac:dyDescent="0.2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</row>
    <row r="100" spans="1:52" ht="15" customHeight="1" x14ac:dyDescent="0.2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</row>
    <row r="101" spans="1:52" ht="15" customHeight="1" x14ac:dyDescent="0.2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</row>
    <row r="102" spans="1:52" ht="15" customHeight="1" x14ac:dyDescent="0.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</row>
    <row r="103" spans="1:52" ht="15" customHeight="1" x14ac:dyDescent="0.2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</row>
    <row r="104" spans="1:52" ht="15" customHeight="1" x14ac:dyDescent="0.2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</row>
    <row r="105" spans="1:52" ht="15" customHeight="1" x14ac:dyDescent="0.2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</row>
    <row r="106" spans="1:52" ht="15" customHeight="1" x14ac:dyDescent="0.2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</row>
    <row r="107" spans="1:52" ht="15" customHeight="1" x14ac:dyDescent="0.2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</row>
    <row r="108" spans="1:52" ht="15" customHeight="1" x14ac:dyDescent="0.2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</row>
    <row r="109" spans="1:52" ht="15" customHeight="1" x14ac:dyDescent="0.2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</row>
    <row r="110" spans="1:52" ht="15" customHeight="1" x14ac:dyDescent="0.2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</row>
    <row r="111" spans="1:52" ht="15" customHeight="1" x14ac:dyDescent="0.2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</row>
    <row r="112" spans="1:52" ht="15" customHeight="1" x14ac:dyDescent="0.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</row>
    <row r="113" spans="1:52" ht="15" customHeight="1" x14ac:dyDescent="0.2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</row>
    <row r="114" spans="1:52" ht="15" customHeight="1" x14ac:dyDescent="0.2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</row>
    <row r="115" spans="1:52" ht="15" customHeight="1" x14ac:dyDescent="0.2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</row>
    <row r="116" spans="1:52" ht="15" customHeight="1" x14ac:dyDescent="0.2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</row>
    <row r="117" spans="1:52" ht="15" customHeight="1" x14ac:dyDescent="0.2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</row>
    <row r="118" spans="1:52" ht="15" customHeight="1" x14ac:dyDescent="0.2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</row>
    <row r="119" spans="1:52" ht="15" customHeight="1" x14ac:dyDescent="0.2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</row>
    <row r="120" spans="1:52" ht="15" customHeight="1" x14ac:dyDescent="0.2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</row>
    <row r="121" spans="1:52" ht="15" customHeight="1" x14ac:dyDescent="0.2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</row>
    <row r="122" spans="1:52" ht="15" customHeight="1" x14ac:dyDescent="0.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</row>
    <row r="123" spans="1:52" ht="15" customHeight="1" x14ac:dyDescent="0.2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</row>
    <row r="124" spans="1:52" ht="15" customHeight="1" x14ac:dyDescent="0.2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</row>
    <row r="125" spans="1:52" ht="15" customHeight="1" x14ac:dyDescent="0.2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</row>
    <row r="126" spans="1:52" ht="15" customHeight="1" x14ac:dyDescent="0.2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</row>
    <row r="127" spans="1:52" ht="15" customHeight="1" x14ac:dyDescent="0.2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</row>
    <row r="128" spans="1:52" ht="15" customHeight="1" x14ac:dyDescent="0.2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</row>
    <row r="129" spans="1:52" ht="15" customHeight="1" x14ac:dyDescent="0.2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</row>
    <row r="130" spans="1:52" ht="15" customHeight="1" x14ac:dyDescent="0.2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</row>
    <row r="131" spans="1:52" ht="15" customHeight="1" x14ac:dyDescent="0.2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</row>
    <row r="132" spans="1:52" ht="15" customHeight="1" x14ac:dyDescent="0.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</row>
    <row r="133" spans="1:52" ht="15" customHeight="1" x14ac:dyDescent="0.2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</row>
    <row r="134" spans="1:52" ht="15" customHeight="1" x14ac:dyDescent="0.2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</row>
    <row r="135" spans="1:52" ht="15" customHeight="1" x14ac:dyDescent="0.2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</row>
    <row r="136" spans="1:52" ht="15" customHeight="1" x14ac:dyDescent="0.2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</row>
    <row r="137" spans="1:52" ht="15" customHeight="1" x14ac:dyDescent="0.2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</row>
    <row r="138" spans="1:52" ht="15" customHeight="1" x14ac:dyDescent="0.2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</row>
    <row r="139" spans="1:52" ht="15" customHeight="1" x14ac:dyDescent="0.2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</row>
    <row r="140" spans="1:52" ht="15" customHeight="1" x14ac:dyDescent="0.2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</row>
    <row r="141" spans="1:52" ht="15" customHeight="1" x14ac:dyDescent="0.2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</row>
    <row r="142" spans="1:52" ht="15" customHeight="1" x14ac:dyDescent="0.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</row>
    <row r="143" spans="1:52" ht="15" customHeight="1" x14ac:dyDescent="0.2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</row>
    <row r="144" spans="1:52" ht="15" customHeight="1" x14ac:dyDescent="0.2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</row>
    <row r="145" spans="1:52" ht="15" customHeight="1" x14ac:dyDescent="0.2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</row>
    <row r="146" spans="1:52" ht="15" customHeight="1" x14ac:dyDescent="0.2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</row>
    <row r="147" spans="1:52" ht="15" customHeight="1" x14ac:dyDescent="0.2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</row>
    <row r="148" spans="1:52" ht="15" customHeight="1" x14ac:dyDescent="0.2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</row>
    <row r="149" spans="1:52" ht="15" customHeight="1" x14ac:dyDescent="0.2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</row>
    <row r="150" spans="1:52" ht="15" customHeight="1" x14ac:dyDescent="0.2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</row>
    <row r="151" spans="1:52" ht="15" customHeight="1" x14ac:dyDescent="0.2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</row>
    <row r="152" spans="1:52" ht="15" customHeight="1" x14ac:dyDescent="0.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</row>
    <row r="153" spans="1:52" ht="15" customHeight="1" x14ac:dyDescent="0.2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</row>
    <row r="154" spans="1:52" ht="15" customHeight="1" x14ac:dyDescent="0.2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</row>
    <row r="155" spans="1:52" ht="15" customHeight="1" x14ac:dyDescent="0.2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</row>
    <row r="156" spans="1:52" ht="15" customHeight="1" x14ac:dyDescent="0.2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</row>
    <row r="157" spans="1:52" ht="15" customHeight="1" x14ac:dyDescent="0.2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</row>
    <row r="158" spans="1:52" ht="15" customHeight="1" x14ac:dyDescent="0.2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</row>
    <row r="159" spans="1:52" ht="15" customHeight="1" x14ac:dyDescent="0.2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</row>
    <row r="160" spans="1:52" ht="15" customHeight="1" x14ac:dyDescent="0.2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</row>
    <row r="161" spans="1:52" ht="15" customHeight="1" x14ac:dyDescent="0.2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</row>
    <row r="162" spans="1:52" ht="15" customHeight="1" x14ac:dyDescent="0.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</row>
    <row r="163" spans="1:52" ht="15" customHeight="1" x14ac:dyDescent="0.2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</row>
    <row r="164" spans="1:52" ht="15" customHeight="1" x14ac:dyDescent="0.2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</row>
    <row r="165" spans="1:52" ht="15" customHeight="1" x14ac:dyDescent="0.2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</row>
    <row r="166" spans="1:52" ht="15" customHeight="1" x14ac:dyDescent="0.2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</row>
    <row r="167" spans="1:52" ht="15" customHeight="1" x14ac:dyDescent="0.2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</row>
    <row r="168" spans="1:52" ht="15" customHeight="1" x14ac:dyDescent="0.2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</row>
    <row r="169" spans="1:52" ht="15" customHeight="1" x14ac:dyDescent="0.2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</row>
    <row r="170" spans="1:52" ht="15" customHeight="1" x14ac:dyDescent="0.2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</row>
    <row r="171" spans="1:52" ht="15" customHeight="1" x14ac:dyDescent="0.2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</row>
    <row r="172" spans="1:52" ht="15" customHeight="1" x14ac:dyDescent="0.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</row>
    <row r="173" spans="1:52" ht="15" customHeight="1" x14ac:dyDescent="0.2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</row>
    <row r="174" spans="1:52" ht="15" customHeight="1" x14ac:dyDescent="0.2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</row>
    <row r="175" spans="1:52" ht="15" customHeight="1" x14ac:dyDescent="0.2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</row>
    <row r="176" spans="1:52" ht="15" customHeight="1" x14ac:dyDescent="0.2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</row>
    <row r="177" spans="1:52" ht="15" customHeight="1" x14ac:dyDescent="0.2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</row>
    <row r="178" spans="1:52" ht="15" customHeight="1" x14ac:dyDescent="0.2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</row>
    <row r="179" spans="1:52" ht="15" customHeight="1" x14ac:dyDescent="0.2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</row>
    <row r="180" spans="1:52" ht="15" customHeight="1" x14ac:dyDescent="0.2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</row>
    <row r="181" spans="1:52" ht="15" customHeight="1" x14ac:dyDescent="0.2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</row>
    <row r="182" spans="1:52" ht="15" customHeight="1" x14ac:dyDescent="0.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</row>
    <row r="183" spans="1:52" ht="15" customHeight="1" x14ac:dyDescent="0.2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</row>
    <row r="184" spans="1:52" ht="15" customHeight="1" x14ac:dyDescent="0.2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</row>
    <row r="185" spans="1:52" ht="15" customHeight="1" x14ac:dyDescent="0.2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</row>
    <row r="186" spans="1:52" ht="15" customHeight="1" x14ac:dyDescent="0.2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</row>
    <row r="187" spans="1:52" ht="15" customHeight="1" x14ac:dyDescent="0.2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</row>
    <row r="188" spans="1:52" ht="15" customHeight="1" x14ac:dyDescent="0.2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</row>
    <row r="189" spans="1:52" ht="15" customHeight="1" x14ac:dyDescent="0.2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</row>
    <row r="190" spans="1:52" ht="15" customHeight="1" x14ac:dyDescent="0.2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</row>
    <row r="191" spans="1:52" ht="15" customHeight="1" x14ac:dyDescent="0.2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</row>
    <row r="192" spans="1:52" ht="15" customHeight="1" x14ac:dyDescent="0.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</row>
    <row r="193" spans="1:52" ht="15" customHeight="1" x14ac:dyDescent="0.2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</row>
    <row r="194" spans="1:52" ht="15" customHeight="1" x14ac:dyDescent="0.2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</row>
    <row r="195" spans="1:52" ht="15" customHeight="1" x14ac:dyDescent="0.2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</row>
    <row r="196" spans="1:52" ht="15" customHeight="1" x14ac:dyDescent="0.2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</row>
    <row r="197" spans="1:52" ht="15" customHeight="1" x14ac:dyDescent="0.2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</row>
    <row r="198" spans="1:52" ht="15" customHeight="1" x14ac:dyDescent="0.2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</row>
    <row r="199" spans="1:52" ht="15" customHeight="1" x14ac:dyDescent="0.2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</row>
    <row r="200" spans="1:52" ht="15" customHeight="1" x14ac:dyDescent="0.2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Tablas_Operativas</vt:lpstr>
      <vt:lpstr>Parametros</vt:lpstr>
      <vt:lpstr>Datos_Volumen</vt:lpstr>
      <vt:lpstr>Datos_Dotacion</vt:lpstr>
      <vt:lpstr>Datos_Vacios</vt:lpstr>
      <vt:lpstr>Tabla_Escenarios</vt:lpstr>
      <vt:lpstr>SOP_y_Comentario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horacio yeuchuk</cp:lastModifiedBy>
  <cp:revision>5</cp:revision>
  <dcterms:created xsi:type="dcterms:W3CDTF">2026-06-01T23:35:14Z</dcterms:created>
  <dcterms:modified xsi:type="dcterms:W3CDTF">2026-06-02T12:48:20Z</dcterms:modified>
  <dc:language>en-US</dc:language>
</cp:coreProperties>
</file>